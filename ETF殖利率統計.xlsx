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evin.files\"/>
    </mc:Choice>
  </mc:AlternateContent>
  <bookViews>
    <workbookView xWindow="0" yWindow="0" windowWidth="19200" windowHeight="6870"/>
  </bookViews>
  <sheets>
    <sheet name="00712" sheetId="1" r:id="rId1"/>
    <sheet name="00878" sheetId="2" r:id="rId2"/>
    <sheet name="00929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3" i="3"/>
  <c r="M3" i="3" s="1"/>
  <c r="K3" i="3"/>
  <c r="J3" i="3"/>
  <c r="L3" i="2"/>
  <c r="K3" i="2"/>
  <c r="J3" i="2"/>
  <c r="M3" i="2" l="1"/>
  <c r="K3" i="1"/>
  <c r="K6" i="1" s="1"/>
  <c r="M6" i="1" s="1"/>
  <c r="J3" i="1"/>
  <c r="J6" i="1" s="1"/>
  <c r="L3" i="1"/>
  <c r="M3" i="1" l="1"/>
</calcChain>
</file>

<file path=xl/sharedStrings.xml><?xml version="1.0" encoding="utf-8"?>
<sst xmlns="http://schemas.openxmlformats.org/spreadsheetml/2006/main" count="35" uniqueCount="11">
  <si>
    <t>年度</t>
    <phoneticPr fontId="1" type="noConversion"/>
  </si>
  <si>
    <t>現金股利</t>
    <phoneticPr fontId="1" type="noConversion"/>
  </si>
  <si>
    <t>股數</t>
    <phoneticPr fontId="1" type="noConversion"/>
  </si>
  <si>
    <t>購入均價</t>
    <phoneticPr fontId="1" type="noConversion"/>
  </si>
  <si>
    <t>歷年股利均價</t>
    <phoneticPr fontId="1" type="noConversion"/>
  </si>
  <si>
    <t>殖利率</t>
    <phoneticPr fontId="1" type="noConversion"/>
  </si>
  <si>
    <t>購入日期</t>
    <phoneticPr fontId="1" type="noConversion"/>
  </si>
  <si>
    <t>購入價格</t>
    <phoneticPr fontId="1" type="noConversion"/>
  </si>
  <si>
    <t>購入股數</t>
    <phoneticPr fontId="1" type="noConversion"/>
  </si>
  <si>
    <t>&gt;&gt;&gt;購入價沒有參考左邊表格</t>
    <phoneticPr fontId="1" type="noConversion"/>
  </si>
  <si>
    <t>實際金額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</si>
</sst>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7" formatCode="#,##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177" fontId="2" fillId="0" borderId="1" xfId="0" applyNumberFormat="1" applyFont="1" applyBorder="1">
      <alignment vertical="center"/>
    </xf>
    <xf numFmtId="0" fontId="0" fillId="5" borderId="2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0"/>
  <sheetViews>
    <sheetView tabSelected="1" workbookViewId="0">
      <selection activeCell="C5" sqref="C5"/>
    </sheetView>
  </sheetViews>
  <sheetFormatPr defaultRowHeight="17" x14ac:dyDescent="0.4"/>
  <cols>
    <col min="2" max="3" width="10" bestFit="1" customWidth="1"/>
    <col min="4" max="4" width="10" customWidth="1"/>
    <col min="5" max="5" width="10" bestFit="1" customWidth="1"/>
    <col min="6" max="6" width="4.90625" customWidth="1"/>
    <col min="7" max="7" width="7.81640625" customWidth="1"/>
    <col min="8" max="8" width="10" bestFit="1" customWidth="1"/>
    <col min="9" max="9" width="4.08984375" customWidth="1"/>
    <col min="11" max="11" width="10" bestFit="1" customWidth="1"/>
    <col min="12" max="12" width="14.7265625" bestFit="1" customWidth="1"/>
    <col min="14" max="14" width="30.36328125" bestFit="1" customWidth="1"/>
  </cols>
  <sheetData>
    <row r="2" spans="2:14" x14ac:dyDescent="0.4">
      <c r="B2" s="1" t="s">
        <v>6</v>
      </c>
      <c r="C2" s="1" t="s">
        <v>7</v>
      </c>
      <c r="D2" s="1" t="s">
        <v>10</v>
      </c>
      <c r="E2" s="1" t="s">
        <v>8</v>
      </c>
      <c r="G2" s="1" t="s">
        <v>0</v>
      </c>
      <c r="H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2:14" x14ac:dyDescent="0.4">
      <c r="B3" s="7"/>
      <c r="C3" s="4"/>
      <c r="D3" s="4"/>
      <c r="E3" s="3"/>
      <c r="G3" s="2">
        <v>2017</v>
      </c>
      <c r="H3" s="3">
        <v>0.24</v>
      </c>
      <c r="J3" s="3">
        <f>SUM(E3:E100)</f>
        <v>120000</v>
      </c>
      <c r="K3" s="4">
        <f>SUM(C3:C100)/COUNT(C3:C100)</f>
        <v>8906.8421052631584</v>
      </c>
      <c r="L3" s="5">
        <f>SUM(H3:H17)/COUNT(H3:H17)</f>
        <v>0.90155555555555567</v>
      </c>
      <c r="M3" s="6">
        <f>(L3*1000/K3)*100%</f>
        <v>0.10122056110356058</v>
      </c>
    </row>
    <row r="4" spans="2:14" x14ac:dyDescent="0.4">
      <c r="B4" s="7"/>
      <c r="C4" s="4"/>
      <c r="D4" s="4"/>
      <c r="E4" s="3"/>
      <c r="G4" s="2">
        <v>2018</v>
      </c>
      <c r="H4" s="3">
        <v>1.7829999999999999</v>
      </c>
    </row>
    <row r="5" spans="2:14" x14ac:dyDescent="0.4">
      <c r="B5" s="7"/>
      <c r="C5" s="4"/>
      <c r="D5" s="4"/>
      <c r="E5" s="3"/>
      <c r="G5" s="2">
        <v>2019</v>
      </c>
      <c r="H5" s="3">
        <v>0.94099999999999995</v>
      </c>
      <c r="J5" s="8" t="s">
        <v>2</v>
      </c>
      <c r="K5" s="8" t="s">
        <v>3</v>
      </c>
      <c r="L5" s="8" t="s">
        <v>4</v>
      </c>
      <c r="M5" s="8" t="s">
        <v>5</v>
      </c>
      <c r="N5" s="11" t="s">
        <v>9</v>
      </c>
    </row>
    <row r="6" spans="2:14" x14ac:dyDescent="0.4">
      <c r="B6" s="7"/>
      <c r="C6" s="4"/>
      <c r="D6" s="4"/>
      <c r="E6" s="3"/>
      <c r="G6" s="2">
        <v>2020</v>
      </c>
      <c r="H6" s="3">
        <v>1.0620000000000001</v>
      </c>
      <c r="J6" s="9">
        <f>J3</f>
        <v>120000</v>
      </c>
      <c r="K6" s="10">
        <f>K3</f>
        <v>8906.8421052631584</v>
      </c>
      <c r="L6" s="5">
        <f>H11</f>
        <v>0.79300000000000004</v>
      </c>
      <c r="M6" s="6">
        <f>(L6*1000/K6)*100%</f>
        <v>8.9032677421261003E-2</v>
      </c>
    </row>
    <row r="7" spans="2:14" x14ac:dyDescent="0.4">
      <c r="B7" s="7">
        <v>46227</v>
      </c>
      <c r="C7" s="4">
        <v>8770</v>
      </c>
      <c r="D7" s="4">
        <v>87824</v>
      </c>
      <c r="E7" s="3">
        <v>10000</v>
      </c>
      <c r="G7" s="2">
        <v>2021</v>
      </c>
      <c r="H7" s="3">
        <v>0.76600000000000001</v>
      </c>
    </row>
    <row r="8" spans="2:14" x14ac:dyDescent="0.4">
      <c r="B8" s="7">
        <v>46226</v>
      </c>
      <c r="C8" s="4">
        <v>8860</v>
      </c>
      <c r="D8" s="4">
        <v>88726</v>
      </c>
      <c r="E8" s="3">
        <v>10000</v>
      </c>
      <c r="G8" s="2">
        <v>2022</v>
      </c>
      <c r="H8" s="3">
        <v>0.84399999999999997</v>
      </c>
    </row>
    <row r="9" spans="2:14" x14ac:dyDescent="0.4">
      <c r="B9" s="7">
        <v>46225</v>
      </c>
      <c r="C9" s="4">
        <v>8880</v>
      </c>
      <c r="D9" s="4">
        <v>88926</v>
      </c>
      <c r="E9" s="3">
        <v>10000</v>
      </c>
      <c r="G9" s="2">
        <v>2023</v>
      </c>
      <c r="H9" s="3">
        <v>0.9</v>
      </c>
    </row>
    <row r="10" spans="2:14" x14ac:dyDescent="0.4">
      <c r="B10" s="7">
        <v>46224</v>
      </c>
      <c r="C10" s="4">
        <v>8900</v>
      </c>
      <c r="D10" s="4">
        <v>222816</v>
      </c>
      <c r="E10" s="3">
        <v>25000</v>
      </c>
      <c r="G10" s="2">
        <v>2024</v>
      </c>
      <c r="H10" s="3">
        <v>0.78500000000000003</v>
      </c>
    </row>
    <row r="11" spans="2:14" x14ac:dyDescent="0.4">
      <c r="B11" s="7">
        <v>46205</v>
      </c>
      <c r="C11" s="4">
        <v>8750</v>
      </c>
      <c r="D11" s="4">
        <v>43812</v>
      </c>
      <c r="E11" s="3">
        <v>5000</v>
      </c>
      <c r="G11" s="2">
        <v>2025</v>
      </c>
      <c r="H11" s="3">
        <v>0.79300000000000004</v>
      </c>
    </row>
    <row r="12" spans="2:14" x14ac:dyDescent="0.4">
      <c r="B12" s="7">
        <v>46191</v>
      </c>
      <c r="C12" s="4">
        <v>8610</v>
      </c>
      <c r="D12" s="4">
        <v>43111</v>
      </c>
      <c r="E12" s="3">
        <v>5000</v>
      </c>
      <c r="G12" s="2">
        <v>2026</v>
      </c>
      <c r="H12" s="3"/>
    </row>
    <row r="13" spans="2:14" x14ac:dyDescent="0.4">
      <c r="B13" s="7">
        <v>46162</v>
      </c>
      <c r="C13" s="4">
        <v>8700</v>
      </c>
      <c r="D13" s="4">
        <v>26137</v>
      </c>
      <c r="E13" s="3">
        <v>3000</v>
      </c>
      <c r="G13" s="2">
        <v>2027</v>
      </c>
      <c r="H13" s="3"/>
    </row>
    <row r="14" spans="2:14" x14ac:dyDescent="0.4">
      <c r="B14" s="7">
        <v>46157</v>
      </c>
      <c r="C14" s="4">
        <v>8840</v>
      </c>
      <c r="D14" s="4">
        <v>17705</v>
      </c>
      <c r="E14" s="3">
        <v>2000</v>
      </c>
      <c r="G14" s="2">
        <v>2028</v>
      </c>
      <c r="H14" s="3"/>
    </row>
    <row r="15" spans="2:14" x14ac:dyDescent="0.4">
      <c r="B15" s="7">
        <v>46155</v>
      </c>
      <c r="C15" s="4">
        <v>8930</v>
      </c>
      <c r="D15" s="4">
        <v>26828</v>
      </c>
      <c r="E15" s="3">
        <v>3000</v>
      </c>
      <c r="G15" s="2">
        <v>2029</v>
      </c>
      <c r="H15" s="3"/>
    </row>
    <row r="16" spans="2:14" x14ac:dyDescent="0.4">
      <c r="B16" s="7">
        <v>46154</v>
      </c>
      <c r="C16" s="4">
        <v>8970</v>
      </c>
      <c r="D16" s="4">
        <v>17965</v>
      </c>
      <c r="E16" s="3">
        <v>2000</v>
      </c>
      <c r="G16" s="2">
        <v>2030</v>
      </c>
      <c r="H16" s="3"/>
    </row>
    <row r="17" spans="2:8" x14ac:dyDescent="0.4">
      <c r="B17" s="7">
        <v>46104</v>
      </c>
      <c r="C17" s="4">
        <v>8410</v>
      </c>
      <c r="D17" s="4">
        <v>42109</v>
      </c>
      <c r="E17" s="3">
        <v>5000</v>
      </c>
      <c r="G17" s="2">
        <v>2031</v>
      </c>
      <c r="H17" s="3"/>
    </row>
    <row r="18" spans="2:8" x14ac:dyDescent="0.4">
      <c r="B18" s="7">
        <v>46101</v>
      </c>
      <c r="C18" s="4">
        <v>8700</v>
      </c>
      <c r="D18" s="4">
        <v>43561</v>
      </c>
      <c r="E18" s="3">
        <v>5000</v>
      </c>
    </row>
    <row r="19" spans="2:8" x14ac:dyDescent="0.4">
      <c r="B19" s="7">
        <v>46100</v>
      </c>
      <c r="C19" s="4">
        <v>8710</v>
      </c>
      <c r="D19" s="4">
        <v>43612</v>
      </c>
      <c r="E19" s="3">
        <v>5000</v>
      </c>
    </row>
    <row r="20" spans="2:8" x14ac:dyDescent="0.4">
      <c r="B20" s="7">
        <v>46097</v>
      </c>
      <c r="C20" s="4">
        <v>9000</v>
      </c>
      <c r="D20" s="4">
        <v>45064</v>
      </c>
      <c r="E20" s="3">
        <v>5000</v>
      </c>
    </row>
    <row r="21" spans="2:8" x14ac:dyDescent="0.4">
      <c r="B21" s="7">
        <v>46090</v>
      </c>
      <c r="C21" s="4">
        <v>9100</v>
      </c>
      <c r="D21" s="4">
        <v>45614</v>
      </c>
      <c r="E21" s="3">
        <v>5000</v>
      </c>
    </row>
    <row r="22" spans="2:8" x14ac:dyDescent="0.4">
      <c r="B22" s="7">
        <v>46079</v>
      </c>
      <c r="C22" s="4">
        <v>9180</v>
      </c>
      <c r="D22" s="4">
        <v>45965</v>
      </c>
      <c r="E22" s="3">
        <v>5000</v>
      </c>
    </row>
    <row r="23" spans="2:8" x14ac:dyDescent="0.4">
      <c r="B23" s="7">
        <v>46077</v>
      </c>
      <c r="C23" s="4">
        <v>9240</v>
      </c>
      <c r="D23" s="4">
        <v>46265</v>
      </c>
      <c r="E23" s="3">
        <v>5000</v>
      </c>
    </row>
    <row r="24" spans="2:8" x14ac:dyDescent="0.4">
      <c r="B24" s="7">
        <v>46063</v>
      </c>
      <c r="C24" s="4">
        <v>9300</v>
      </c>
      <c r="D24" s="4">
        <v>46566</v>
      </c>
      <c r="E24" s="3">
        <v>5000</v>
      </c>
    </row>
    <row r="25" spans="2:8" x14ac:dyDescent="0.4">
      <c r="B25" s="7">
        <v>46055</v>
      </c>
      <c r="C25" s="4">
        <v>9380</v>
      </c>
      <c r="D25" s="4">
        <v>46966</v>
      </c>
      <c r="E25" s="3">
        <v>5000</v>
      </c>
    </row>
    <row r="26" spans="2:8" x14ac:dyDescent="0.4">
      <c r="B26" s="3"/>
      <c r="C26" s="4"/>
      <c r="D26" s="4"/>
      <c r="E26" s="3"/>
    </row>
    <row r="27" spans="2:8" x14ac:dyDescent="0.4">
      <c r="B27" s="3"/>
      <c r="C27" s="4"/>
      <c r="D27" s="4"/>
      <c r="E27" s="3"/>
    </row>
    <row r="28" spans="2:8" x14ac:dyDescent="0.4">
      <c r="B28" s="3"/>
      <c r="C28" s="4"/>
      <c r="D28" s="4"/>
      <c r="E28" s="3"/>
    </row>
    <row r="29" spans="2:8" x14ac:dyDescent="0.4">
      <c r="B29" s="3"/>
      <c r="C29" s="4"/>
      <c r="D29" s="4"/>
      <c r="E29" s="3"/>
    </row>
    <row r="30" spans="2:8" x14ac:dyDescent="0.4">
      <c r="B30" s="3"/>
      <c r="C30" s="4"/>
      <c r="D30" s="4"/>
      <c r="E30" s="3"/>
    </row>
    <row r="31" spans="2:8" x14ac:dyDescent="0.4">
      <c r="B31" s="3"/>
      <c r="C31" s="4"/>
      <c r="D31" s="4"/>
      <c r="E31" s="3"/>
    </row>
    <row r="32" spans="2:8" x14ac:dyDescent="0.4">
      <c r="B32" s="3"/>
      <c r="C32" s="4"/>
      <c r="D32" s="4"/>
      <c r="E32" s="3"/>
    </row>
    <row r="33" spans="2:5" x14ac:dyDescent="0.4">
      <c r="B33" s="3"/>
      <c r="C33" s="4"/>
      <c r="D33" s="4"/>
      <c r="E33" s="3"/>
    </row>
    <row r="34" spans="2:5" x14ac:dyDescent="0.4">
      <c r="B34" s="3"/>
      <c r="C34" s="4"/>
      <c r="D34" s="4"/>
      <c r="E34" s="3"/>
    </row>
    <row r="35" spans="2:5" x14ac:dyDescent="0.4">
      <c r="B35" s="3"/>
      <c r="C35" s="4"/>
      <c r="D35" s="4"/>
      <c r="E35" s="3"/>
    </row>
    <row r="36" spans="2:5" x14ac:dyDescent="0.4">
      <c r="B36" s="3"/>
      <c r="C36" s="4"/>
      <c r="D36" s="4"/>
      <c r="E36" s="3"/>
    </row>
    <row r="37" spans="2:5" x14ac:dyDescent="0.4">
      <c r="B37" s="3"/>
      <c r="C37" s="4"/>
      <c r="D37" s="4"/>
      <c r="E37" s="3"/>
    </row>
    <row r="38" spans="2:5" x14ac:dyDescent="0.4">
      <c r="B38" s="3"/>
      <c r="C38" s="4"/>
      <c r="D38" s="4"/>
      <c r="E38" s="3"/>
    </row>
    <row r="39" spans="2:5" x14ac:dyDescent="0.4">
      <c r="B39" s="3"/>
      <c r="C39" s="4"/>
      <c r="D39" s="4"/>
      <c r="E39" s="3"/>
    </row>
    <row r="40" spans="2:5" x14ac:dyDescent="0.4">
      <c r="B40" s="3"/>
      <c r="C40" s="4"/>
      <c r="D40" s="4"/>
      <c r="E40" s="3"/>
    </row>
    <row r="41" spans="2:5" x14ac:dyDescent="0.4">
      <c r="B41" s="3"/>
      <c r="C41" s="4"/>
      <c r="D41" s="4"/>
      <c r="E41" s="3"/>
    </row>
    <row r="42" spans="2:5" x14ac:dyDescent="0.4">
      <c r="B42" s="3"/>
      <c r="C42" s="4"/>
      <c r="D42" s="4"/>
      <c r="E42" s="3"/>
    </row>
    <row r="43" spans="2:5" x14ac:dyDescent="0.4">
      <c r="B43" s="3"/>
      <c r="C43" s="4"/>
      <c r="D43" s="4"/>
      <c r="E43" s="3"/>
    </row>
    <row r="44" spans="2:5" x14ac:dyDescent="0.4">
      <c r="B44" s="3"/>
      <c r="C44" s="4"/>
      <c r="D44" s="4"/>
      <c r="E44" s="3"/>
    </row>
    <row r="45" spans="2:5" x14ac:dyDescent="0.4">
      <c r="B45" s="3"/>
      <c r="C45" s="4"/>
      <c r="D45" s="4"/>
      <c r="E45" s="3"/>
    </row>
    <row r="46" spans="2:5" x14ac:dyDescent="0.4">
      <c r="B46" s="3"/>
      <c r="C46" s="4"/>
      <c r="D46" s="4"/>
      <c r="E46" s="3"/>
    </row>
    <row r="47" spans="2:5" x14ac:dyDescent="0.4">
      <c r="B47" s="3"/>
      <c r="C47" s="4"/>
      <c r="D47" s="4"/>
      <c r="E47" s="3"/>
    </row>
    <row r="48" spans="2:5" x14ac:dyDescent="0.4">
      <c r="B48" s="3"/>
      <c r="C48" s="4"/>
      <c r="D48" s="4"/>
      <c r="E48" s="3"/>
    </row>
    <row r="49" spans="2:5" x14ac:dyDescent="0.4">
      <c r="B49" s="3"/>
      <c r="C49" s="4"/>
      <c r="D49" s="4"/>
      <c r="E49" s="3"/>
    </row>
    <row r="50" spans="2:5" x14ac:dyDescent="0.4">
      <c r="B50" s="3"/>
      <c r="C50" s="4"/>
      <c r="D50" s="4"/>
      <c r="E50" s="3"/>
    </row>
    <row r="51" spans="2:5" x14ac:dyDescent="0.4">
      <c r="B51" s="3"/>
      <c r="C51" s="4"/>
      <c r="D51" s="4"/>
      <c r="E51" s="3"/>
    </row>
    <row r="52" spans="2:5" x14ac:dyDescent="0.4">
      <c r="B52" s="3"/>
      <c r="C52" s="4"/>
      <c r="D52" s="4"/>
      <c r="E52" s="3"/>
    </row>
    <row r="53" spans="2:5" x14ac:dyDescent="0.4">
      <c r="B53" s="3"/>
      <c r="C53" s="4"/>
      <c r="D53" s="4"/>
      <c r="E53" s="3"/>
    </row>
    <row r="54" spans="2:5" x14ac:dyDescent="0.4">
      <c r="B54" s="3"/>
      <c r="C54" s="4"/>
      <c r="D54" s="4"/>
      <c r="E54" s="3"/>
    </row>
    <row r="55" spans="2:5" x14ac:dyDescent="0.4">
      <c r="B55" s="3"/>
      <c r="C55" s="4"/>
      <c r="D55" s="4"/>
      <c r="E55" s="3"/>
    </row>
    <row r="56" spans="2:5" x14ac:dyDescent="0.4">
      <c r="B56" s="3"/>
      <c r="C56" s="4"/>
      <c r="D56" s="4"/>
      <c r="E56" s="3"/>
    </row>
    <row r="57" spans="2:5" x14ac:dyDescent="0.4">
      <c r="B57" s="3"/>
      <c r="C57" s="4"/>
      <c r="D57" s="4"/>
      <c r="E57" s="3"/>
    </row>
    <row r="58" spans="2:5" x14ac:dyDescent="0.4">
      <c r="B58" s="3"/>
      <c r="C58" s="4"/>
      <c r="D58" s="4"/>
      <c r="E58" s="3"/>
    </row>
    <row r="59" spans="2:5" x14ac:dyDescent="0.4">
      <c r="B59" s="3"/>
      <c r="C59" s="4"/>
      <c r="D59" s="4"/>
      <c r="E59" s="3"/>
    </row>
    <row r="60" spans="2:5" x14ac:dyDescent="0.4">
      <c r="B60" s="3"/>
      <c r="C60" s="4"/>
      <c r="D60" s="4"/>
      <c r="E60" s="3"/>
    </row>
    <row r="61" spans="2:5" x14ac:dyDescent="0.4">
      <c r="B61" s="3"/>
      <c r="C61" s="4"/>
      <c r="D61" s="4"/>
      <c r="E61" s="3"/>
    </row>
    <row r="62" spans="2:5" x14ac:dyDescent="0.4">
      <c r="B62" s="3"/>
      <c r="C62" s="4"/>
      <c r="D62" s="4"/>
      <c r="E62" s="3"/>
    </row>
    <row r="63" spans="2:5" x14ac:dyDescent="0.4">
      <c r="B63" s="3"/>
      <c r="C63" s="4"/>
      <c r="D63" s="4"/>
      <c r="E63" s="3"/>
    </row>
    <row r="64" spans="2:5" x14ac:dyDescent="0.4">
      <c r="B64" s="3"/>
      <c r="C64" s="4"/>
      <c r="D64" s="4"/>
      <c r="E64" s="3"/>
    </row>
    <row r="65" spans="2:5" x14ac:dyDescent="0.4">
      <c r="B65" s="3"/>
      <c r="C65" s="4"/>
      <c r="D65" s="4"/>
      <c r="E65" s="3"/>
    </row>
    <row r="66" spans="2:5" x14ac:dyDescent="0.4">
      <c r="B66" s="3"/>
      <c r="C66" s="4"/>
      <c r="D66" s="4"/>
      <c r="E66" s="3"/>
    </row>
    <row r="67" spans="2:5" x14ac:dyDescent="0.4">
      <c r="B67" s="3"/>
      <c r="C67" s="4"/>
      <c r="D67" s="4"/>
      <c r="E67" s="3"/>
    </row>
    <row r="68" spans="2:5" x14ac:dyDescent="0.4">
      <c r="B68" s="3"/>
      <c r="C68" s="4"/>
      <c r="D68" s="4"/>
      <c r="E68" s="3"/>
    </row>
    <row r="69" spans="2:5" x14ac:dyDescent="0.4">
      <c r="B69" s="3"/>
      <c r="C69" s="4"/>
      <c r="D69" s="4"/>
      <c r="E69" s="3"/>
    </row>
    <row r="70" spans="2:5" x14ac:dyDescent="0.4">
      <c r="B70" s="3"/>
      <c r="C70" s="4"/>
      <c r="D70" s="4"/>
      <c r="E70" s="3"/>
    </row>
    <row r="71" spans="2:5" x14ac:dyDescent="0.4">
      <c r="B71" s="3"/>
      <c r="C71" s="4"/>
      <c r="D71" s="4"/>
      <c r="E71" s="3"/>
    </row>
    <row r="72" spans="2:5" x14ac:dyDescent="0.4">
      <c r="B72" s="3"/>
      <c r="C72" s="4"/>
      <c r="D72" s="4"/>
      <c r="E72" s="3"/>
    </row>
    <row r="73" spans="2:5" x14ac:dyDescent="0.4">
      <c r="B73" s="3"/>
      <c r="C73" s="4"/>
      <c r="D73" s="4"/>
      <c r="E73" s="3"/>
    </row>
    <row r="74" spans="2:5" x14ac:dyDescent="0.4">
      <c r="B74" s="3"/>
      <c r="C74" s="4"/>
      <c r="D74" s="4"/>
      <c r="E74" s="3"/>
    </row>
    <row r="75" spans="2:5" x14ac:dyDescent="0.4">
      <c r="B75" s="3"/>
      <c r="C75" s="4"/>
      <c r="D75" s="4"/>
      <c r="E75" s="3"/>
    </row>
    <row r="76" spans="2:5" x14ac:dyDescent="0.4">
      <c r="B76" s="3"/>
      <c r="C76" s="4"/>
      <c r="D76" s="4"/>
      <c r="E76" s="3"/>
    </row>
    <row r="77" spans="2:5" x14ac:dyDescent="0.4">
      <c r="B77" s="3"/>
      <c r="C77" s="4"/>
      <c r="D77" s="4"/>
      <c r="E77" s="3"/>
    </row>
    <row r="78" spans="2:5" x14ac:dyDescent="0.4">
      <c r="B78" s="3"/>
      <c r="C78" s="4"/>
      <c r="D78" s="4"/>
      <c r="E78" s="3"/>
    </row>
    <row r="79" spans="2:5" x14ac:dyDescent="0.4">
      <c r="B79" s="3"/>
      <c r="C79" s="4"/>
      <c r="D79" s="4"/>
      <c r="E79" s="3"/>
    </row>
    <row r="80" spans="2:5" x14ac:dyDescent="0.4">
      <c r="B80" s="3"/>
      <c r="C80" s="4"/>
      <c r="D80" s="4"/>
      <c r="E80" s="3"/>
    </row>
    <row r="81" spans="2:5" x14ac:dyDescent="0.4">
      <c r="B81" s="3"/>
      <c r="C81" s="4"/>
      <c r="D81" s="4"/>
      <c r="E81" s="3"/>
    </row>
    <row r="82" spans="2:5" x14ac:dyDescent="0.4">
      <c r="B82" s="3"/>
      <c r="C82" s="4"/>
      <c r="D82" s="4"/>
      <c r="E82" s="3"/>
    </row>
    <row r="83" spans="2:5" x14ac:dyDescent="0.4">
      <c r="B83" s="3"/>
      <c r="C83" s="4"/>
      <c r="D83" s="4"/>
      <c r="E83" s="3"/>
    </row>
    <row r="84" spans="2:5" x14ac:dyDescent="0.4">
      <c r="B84" s="3"/>
      <c r="C84" s="4"/>
      <c r="D84" s="4"/>
      <c r="E84" s="3"/>
    </row>
    <row r="85" spans="2:5" x14ac:dyDescent="0.4">
      <c r="B85" s="3"/>
      <c r="C85" s="4"/>
      <c r="D85" s="4"/>
      <c r="E85" s="3"/>
    </row>
    <row r="86" spans="2:5" x14ac:dyDescent="0.4">
      <c r="B86" s="3"/>
      <c r="C86" s="4"/>
      <c r="D86" s="4"/>
      <c r="E86" s="3"/>
    </row>
    <row r="87" spans="2:5" x14ac:dyDescent="0.4">
      <c r="B87" s="3"/>
      <c r="C87" s="4"/>
      <c r="D87" s="4"/>
      <c r="E87" s="3"/>
    </row>
    <row r="88" spans="2:5" x14ac:dyDescent="0.4">
      <c r="B88" s="3"/>
      <c r="C88" s="4"/>
      <c r="D88" s="4"/>
      <c r="E88" s="3"/>
    </row>
    <row r="89" spans="2:5" x14ac:dyDescent="0.4">
      <c r="B89" s="3"/>
      <c r="C89" s="4"/>
      <c r="D89" s="4"/>
      <c r="E89" s="3"/>
    </row>
    <row r="90" spans="2:5" x14ac:dyDescent="0.4">
      <c r="B90" s="3"/>
      <c r="C90" s="4"/>
      <c r="D90" s="4"/>
      <c r="E90" s="3"/>
    </row>
    <row r="91" spans="2:5" x14ac:dyDescent="0.4">
      <c r="B91" s="3"/>
      <c r="C91" s="4"/>
      <c r="D91" s="4"/>
      <c r="E91" s="3"/>
    </row>
    <row r="92" spans="2:5" x14ac:dyDescent="0.4">
      <c r="B92" s="3"/>
      <c r="C92" s="4"/>
      <c r="D92" s="4"/>
      <c r="E92" s="3"/>
    </row>
    <row r="93" spans="2:5" x14ac:dyDescent="0.4">
      <c r="B93" s="3"/>
      <c r="C93" s="4"/>
      <c r="D93" s="4"/>
      <c r="E93" s="3"/>
    </row>
    <row r="94" spans="2:5" x14ac:dyDescent="0.4">
      <c r="B94" s="3"/>
      <c r="C94" s="4"/>
      <c r="D94" s="4"/>
      <c r="E94" s="3"/>
    </row>
    <row r="95" spans="2:5" x14ac:dyDescent="0.4">
      <c r="B95" s="3"/>
      <c r="C95" s="4"/>
      <c r="D95" s="4"/>
      <c r="E95" s="3"/>
    </row>
    <row r="96" spans="2:5" x14ac:dyDescent="0.4">
      <c r="B96" s="3"/>
      <c r="C96" s="4"/>
      <c r="D96" s="4"/>
      <c r="E96" s="3"/>
    </row>
    <row r="97" spans="2:5" x14ac:dyDescent="0.4">
      <c r="B97" s="3"/>
      <c r="C97" s="4"/>
      <c r="D97" s="4"/>
      <c r="E97" s="3"/>
    </row>
    <row r="98" spans="2:5" x14ac:dyDescent="0.4">
      <c r="B98" s="3"/>
      <c r="C98" s="4"/>
      <c r="D98" s="4"/>
      <c r="E98" s="3"/>
    </row>
    <row r="99" spans="2:5" x14ac:dyDescent="0.4">
      <c r="B99" s="3"/>
      <c r="C99" s="4"/>
      <c r="D99" s="4"/>
      <c r="E99" s="3"/>
    </row>
    <row r="100" spans="2:5" x14ac:dyDescent="0.4">
      <c r="B100" s="3"/>
      <c r="C100" s="4"/>
      <c r="D100" s="4"/>
      <c r="E10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"/>
  <sheetViews>
    <sheetView workbookViewId="0">
      <selection activeCell="N12" sqref="N12"/>
    </sheetView>
  </sheetViews>
  <sheetFormatPr defaultRowHeight="17" x14ac:dyDescent="0.4"/>
  <cols>
    <col min="2" max="3" width="10" bestFit="1" customWidth="1"/>
    <col min="4" max="4" width="10" customWidth="1"/>
    <col min="5" max="5" width="10" bestFit="1" customWidth="1"/>
    <col min="6" max="6" width="4.90625" customWidth="1"/>
    <col min="7" max="7" width="7.81640625" customWidth="1"/>
    <col min="8" max="8" width="10" bestFit="1" customWidth="1"/>
    <col min="9" max="9" width="4.08984375" customWidth="1"/>
    <col min="11" max="11" width="10" bestFit="1" customWidth="1"/>
    <col min="12" max="12" width="14.7265625" bestFit="1" customWidth="1"/>
    <col min="14" max="14" width="30.36328125" bestFit="1" customWidth="1"/>
  </cols>
  <sheetData>
    <row r="2" spans="2:13" x14ac:dyDescent="0.4">
      <c r="B2" s="1" t="s">
        <v>6</v>
      </c>
      <c r="C2" s="1" t="s">
        <v>7</v>
      </c>
      <c r="D2" s="1" t="s">
        <v>10</v>
      </c>
      <c r="E2" s="1" t="s">
        <v>8</v>
      </c>
      <c r="G2" s="1" t="s">
        <v>0</v>
      </c>
      <c r="H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2:13" x14ac:dyDescent="0.4">
      <c r="B3" s="7">
        <v>46112</v>
      </c>
      <c r="C3" s="4">
        <v>21800</v>
      </c>
      <c r="D3" s="4">
        <v>21831</v>
      </c>
      <c r="E3" s="3">
        <v>1000</v>
      </c>
      <c r="G3" s="2">
        <v>2020</v>
      </c>
      <c r="H3" s="3">
        <v>0.05</v>
      </c>
      <c r="J3" s="3">
        <f>SUM(E3:E100)</f>
        <v>6000</v>
      </c>
      <c r="K3" s="4">
        <f>SUM(C3:C100)/COUNT(C3:C100)</f>
        <v>21848.333333333332</v>
      </c>
      <c r="L3" s="5">
        <f>SUM(H3:H17)/COUNT(H3:H17)</f>
        <v>1.2050000000000001</v>
      </c>
      <c r="M3" s="6">
        <f>(L3*1000/K3)*100%</f>
        <v>5.515294835609124E-2</v>
      </c>
    </row>
    <row r="4" spans="2:13" x14ac:dyDescent="0.4">
      <c r="B4" s="7">
        <v>46111</v>
      </c>
      <c r="C4" s="4">
        <v>22060</v>
      </c>
      <c r="D4" s="4">
        <v>22091</v>
      </c>
      <c r="E4" s="3">
        <v>1000</v>
      </c>
      <c r="G4" s="2">
        <v>2021</v>
      </c>
      <c r="H4" s="3">
        <v>0.98</v>
      </c>
    </row>
    <row r="5" spans="2:13" x14ac:dyDescent="0.4">
      <c r="B5" s="7">
        <v>46104</v>
      </c>
      <c r="C5" s="4">
        <v>22020</v>
      </c>
      <c r="D5" s="4">
        <v>22051</v>
      </c>
      <c r="E5" s="3">
        <v>1000</v>
      </c>
      <c r="G5" s="2">
        <v>2022</v>
      </c>
      <c r="H5" s="3">
        <v>1.18</v>
      </c>
    </row>
    <row r="6" spans="2:13" x14ac:dyDescent="0.4">
      <c r="B6" s="7">
        <v>46090</v>
      </c>
      <c r="C6" s="4">
        <v>21460</v>
      </c>
      <c r="D6" s="4">
        <v>21490</v>
      </c>
      <c r="E6" s="3">
        <v>1000</v>
      </c>
      <c r="G6" s="2">
        <v>2023</v>
      </c>
      <c r="H6" s="3">
        <v>1.24</v>
      </c>
    </row>
    <row r="7" spans="2:13" x14ac:dyDescent="0.4">
      <c r="B7" s="7">
        <v>46090</v>
      </c>
      <c r="C7" s="4">
        <v>21650</v>
      </c>
      <c r="D7" s="4">
        <v>21680</v>
      </c>
      <c r="E7" s="3">
        <v>1000</v>
      </c>
      <c r="G7" s="2">
        <v>2024</v>
      </c>
      <c r="H7" s="3">
        <v>2.0099999999999998</v>
      </c>
    </row>
    <row r="8" spans="2:13" x14ac:dyDescent="0.4">
      <c r="B8" s="7">
        <v>46085</v>
      </c>
      <c r="C8" s="4">
        <v>22100</v>
      </c>
      <c r="D8" s="4">
        <v>22131</v>
      </c>
      <c r="E8" s="3">
        <v>1000</v>
      </c>
      <c r="G8" s="2">
        <v>2025</v>
      </c>
      <c r="H8" s="3">
        <v>1.77</v>
      </c>
    </row>
    <row r="9" spans="2:13" x14ac:dyDescent="0.4">
      <c r="B9" s="7"/>
      <c r="C9" s="4"/>
      <c r="D9" s="4"/>
      <c r="E9" s="3"/>
      <c r="G9" s="2">
        <v>2026</v>
      </c>
      <c r="H9" s="3"/>
    </row>
    <row r="10" spans="2:13" x14ac:dyDescent="0.4">
      <c r="B10" s="7"/>
      <c r="C10" s="4"/>
      <c r="D10" s="4"/>
      <c r="E10" s="3"/>
      <c r="G10" s="2">
        <v>2027</v>
      </c>
      <c r="H10" s="3"/>
    </row>
    <row r="11" spans="2:13" x14ac:dyDescent="0.4">
      <c r="B11" s="7"/>
      <c r="C11" s="4"/>
      <c r="D11" s="4"/>
      <c r="E11" s="3"/>
      <c r="G11" s="2">
        <v>2028</v>
      </c>
      <c r="H11" s="3"/>
    </row>
    <row r="12" spans="2:13" x14ac:dyDescent="0.4">
      <c r="B12" s="7"/>
      <c r="C12" s="4"/>
      <c r="D12" s="4"/>
      <c r="E12" s="3"/>
      <c r="G12" s="2">
        <v>2029</v>
      </c>
      <c r="H12" s="3"/>
    </row>
    <row r="13" spans="2:13" x14ac:dyDescent="0.4">
      <c r="B13" s="7"/>
      <c r="C13" s="4"/>
      <c r="D13" s="4"/>
      <c r="E13" s="3"/>
      <c r="G13" s="2">
        <v>2030</v>
      </c>
      <c r="H13" s="3"/>
    </row>
    <row r="14" spans="2:13" x14ac:dyDescent="0.4">
      <c r="B14" s="7"/>
      <c r="C14" s="4"/>
      <c r="D14" s="4"/>
      <c r="E14" s="3"/>
      <c r="G14" s="2">
        <v>2031</v>
      </c>
      <c r="H14" s="3"/>
    </row>
    <row r="15" spans="2:13" x14ac:dyDescent="0.4">
      <c r="B15" s="7"/>
      <c r="C15" s="4"/>
      <c r="D15" s="4"/>
      <c r="E15" s="3"/>
      <c r="G15" s="2">
        <v>2032</v>
      </c>
      <c r="H15" s="3"/>
    </row>
    <row r="16" spans="2:13" x14ac:dyDescent="0.4">
      <c r="B16" s="7"/>
      <c r="C16" s="4"/>
      <c r="D16" s="4"/>
      <c r="E16" s="3"/>
      <c r="G16" s="2">
        <v>2033</v>
      </c>
      <c r="H16" s="3"/>
    </row>
    <row r="17" spans="2:8" x14ac:dyDescent="0.4">
      <c r="B17" s="7"/>
      <c r="C17" s="4"/>
      <c r="D17" s="4"/>
      <c r="E17" s="3"/>
      <c r="G17" s="2">
        <v>2034</v>
      </c>
      <c r="H17" s="3"/>
    </row>
    <row r="18" spans="2:8" x14ac:dyDescent="0.4">
      <c r="B18" s="3"/>
      <c r="C18" s="4"/>
      <c r="D18" s="4"/>
      <c r="E18" s="3"/>
    </row>
    <row r="19" spans="2:8" x14ac:dyDescent="0.4">
      <c r="B19" s="3"/>
      <c r="C19" s="4"/>
      <c r="D19" s="4"/>
      <c r="E19" s="3"/>
    </row>
    <row r="20" spans="2:8" x14ac:dyDescent="0.4">
      <c r="B20" s="3"/>
      <c r="C20" s="4"/>
      <c r="D20" s="4"/>
      <c r="E20" s="3"/>
    </row>
    <row r="21" spans="2:8" x14ac:dyDescent="0.4">
      <c r="B21" s="3"/>
      <c r="C21" s="4"/>
      <c r="D21" s="4"/>
      <c r="E21" s="3"/>
    </row>
    <row r="22" spans="2:8" x14ac:dyDescent="0.4">
      <c r="B22" s="3"/>
      <c r="C22" s="4"/>
      <c r="D22" s="4"/>
      <c r="E22" s="3"/>
    </row>
    <row r="23" spans="2:8" x14ac:dyDescent="0.4">
      <c r="B23" s="3"/>
      <c r="C23" s="4"/>
      <c r="D23" s="4"/>
      <c r="E23" s="3"/>
    </row>
    <row r="24" spans="2:8" x14ac:dyDescent="0.4">
      <c r="B24" s="3"/>
      <c r="C24" s="4"/>
      <c r="D24" s="4"/>
      <c r="E24" s="3"/>
    </row>
    <row r="25" spans="2:8" x14ac:dyDescent="0.4">
      <c r="B25" s="3"/>
      <c r="C25" s="4"/>
      <c r="D25" s="4"/>
      <c r="E25" s="3"/>
    </row>
    <row r="26" spans="2:8" x14ac:dyDescent="0.4">
      <c r="B26" s="3"/>
      <c r="C26" s="4"/>
      <c r="D26" s="4"/>
      <c r="E26" s="3"/>
    </row>
    <row r="27" spans="2:8" x14ac:dyDescent="0.4">
      <c r="B27" s="3"/>
      <c r="C27" s="4"/>
      <c r="D27" s="4"/>
      <c r="E27" s="3"/>
    </row>
    <row r="28" spans="2:8" x14ac:dyDescent="0.4">
      <c r="B28" s="3"/>
      <c r="C28" s="4"/>
      <c r="D28" s="4"/>
      <c r="E28" s="3"/>
    </row>
    <row r="29" spans="2:8" x14ac:dyDescent="0.4">
      <c r="B29" s="3"/>
      <c r="C29" s="4"/>
      <c r="D29" s="4"/>
      <c r="E29" s="3"/>
    </row>
    <row r="30" spans="2:8" x14ac:dyDescent="0.4">
      <c r="B30" s="3"/>
      <c r="C30" s="4"/>
      <c r="D30" s="4"/>
      <c r="E30" s="3"/>
    </row>
    <row r="31" spans="2:8" x14ac:dyDescent="0.4">
      <c r="B31" s="3"/>
      <c r="C31" s="4"/>
      <c r="D31" s="4"/>
      <c r="E31" s="3"/>
    </row>
    <row r="32" spans="2:8" x14ac:dyDescent="0.4">
      <c r="B32" s="3"/>
      <c r="C32" s="4"/>
      <c r="D32" s="4"/>
      <c r="E32" s="3"/>
    </row>
    <row r="33" spans="2:5" x14ac:dyDescent="0.4">
      <c r="B33" s="3"/>
      <c r="C33" s="4"/>
      <c r="D33" s="4"/>
      <c r="E33" s="3"/>
    </row>
    <row r="34" spans="2:5" x14ac:dyDescent="0.4">
      <c r="B34" s="3"/>
      <c r="C34" s="4"/>
      <c r="D34" s="4"/>
      <c r="E34" s="3"/>
    </row>
    <row r="35" spans="2:5" x14ac:dyDescent="0.4">
      <c r="B35" s="3"/>
      <c r="C35" s="4"/>
      <c r="D35" s="4"/>
      <c r="E35" s="3"/>
    </row>
    <row r="36" spans="2:5" x14ac:dyDescent="0.4">
      <c r="B36" s="3"/>
      <c r="C36" s="4"/>
      <c r="D36" s="4"/>
      <c r="E36" s="3"/>
    </row>
    <row r="37" spans="2:5" x14ac:dyDescent="0.4">
      <c r="B37" s="3"/>
      <c r="C37" s="4"/>
      <c r="D37" s="4"/>
      <c r="E37" s="3"/>
    </row>
    <row r="38" spans="2:5" x14ac:dyDescent="0.4">
      <c r="B38" s="3"/>
      <c r="C38" s="4"/>
      <c r="D38" s="4"/>
      <c r="E38" s="3"/>
    </row>
    <row r="39" spans="2:5" x14ac:dyDescent="0.4">
      <c r="B39" s="3"/>
      <c r="C39" s="4"/>
      <c r="D39" s="4"/>
      <c r="E39" s="3"/>
    </row>
    <row r="40" spans="2:5" x14ac:dyDescent="0.4">
      <c r="B40" s="3"/>
      <c r="C40" s="4"/>
      <c r="D40" s="4"/>
      <c r="E40" s="3"/>
    </row>
    <row r="41" spans="2:5" x14ac:dyDescent="0.4">
      <c r="B41" s="3"/>
      <c r="C41" s="4"/>
      <c r="D41" s="4"/>
      <c r="E41" s="3"/>
    </row>
    <row r="42" spans="2:5" x14ac:dyDescent="0.4">
      <c r="B42" s="3"/>
      <c r="C42" s="4"/>
      <c r="D42" s="4"/>
      <c r="E42" s="3"/>
    </row>
    <row r="43" spans="2:5" x14ac:dyDescent="0.4">
      <c r="B43" s="3"/>
      <c r="C43" s="4"/>
      <c r="D43" s="4"/>
      <c r="E43" s="3"/>
    </row>
    <row r="44" spans="2:5" x14ac:dyDescent="0.4">
      <c r="B44" s="3"/>
      <c r="C44" s="4"/>
      <c r="D44" s="4"/>
      <c r="E44" s="3"/>
    </row>
    <row r="45" spans="2:5" x14ac:dyDescent="0.4">
      <c r="B45" s="3"/>
      <c r="C45" s="4"/>
      <c r="D45" s="4"/>
      <c r="E45" s="3"/>
    </row>
    <row r="46" spans="2:5" x14ac:dyDescent="0.4">
      <c r="B46" s="3"/>
      <c r="C46" s="4"/>
      <c r="D46" s="4"/>
      <c r="E46" s="3"/>
    </row>
    <row r="47" spans="2:5" x14ac:dyDescent="0.4">
      <c r="B47" s="3"/>
      <c r="C47" s="4"/>
      <c r="D47" s="4"/>
      <c r="E47" s="3"/>
    </row>
    <row r="48" spans="2:5" x14ac:dyDescent="0.4">
      <c r="B48" s="3"/>
      <c r="C48" s="4"/>
      <c r="D48" s="4"/>
      <c r="E48" s="3"/>
    </row>
    <row r="49" spans="2:5" x14ac:dyDescent="0.4">
      <c r="B49" s="3"/>
      <c r="C49" s="4"/>
      <c r="D49" s="4"/>
      <c r="E49" s="3"/>
    </row>
    <row r="50" spans="2:5" x14ac:dyDescent="0.4">
      <c r="B50" s="3"/>
      <c r="C50" s="4"/>
      <c r="D50" s="4"/>
      <c r="E50" s="3"/>
    </row>
    <row r="51" spans="2:5" x14ac:dyDescent="0.4">
      <c r="B51" s="3"/>
      <c r="C51" s="4"/>
      <c r="D51" s="4"/>
      <c r="E51" s="3"/>
    </row>
    <row r="52" spans="2:5" x14ac:dyDescent="0.4">
      <c r="B52" s="3"/>
      <c r="C52" s="4"/>
      <c r="D52" s="4"/>
      <c r="E52" s="3"/>
    </row>
    <row r="53" spans="2:5" x14ac:dyDescent="0.4">
      <c r="B53" s="3"/>
      <c r="C53" s="4"/>
      <c r="D53" s="4"/>
      <c r="E53" s="3"/>
    </row>
    <row r="54" spans="2:5" x14ac:dyDescent="0.4">
      <c r="B54" s="3"/>
      <c r="C54" s="4"/>
      <c r="D54" s="4"/>
      <c r="E54" s="3"/>
    </row>
    <row r="55" spans="2:5" x14ac:dyDescent="0.4">
      <c r="B55" s="3"/>
      <c r="C55" s="4"/>
      <c r="D55" s="4"/>
      <c r="E55" s="3"/>
    </row>
    <row r="56" spans="2:5" x14ac:dyDescent="0.4">
      <c r="B56" s="3"/>
      <c r="C56" s="4"/>
      <c r="D56" s="4"/>
      <c r="E56" s="3"/>
    </row>
    <row r="57" spans="2:5" x14ac:dyDescent="0.4">
      <c r="B57" s="3"/>
      <c r="C57" s="4"/>
      <c r="D57" s="4"/>
      <c r="E57" s="3"/>
    </row>
    <row r="58" spans="2:5" x14ac:dyDescent="0.4">
      <c r="B58" s="3"/>
      <c r="C58" s="4"/>
      <c r="D58" s="4"/>
      <c r="E58" s="3"/>
    </row>
    <row r="59" spans="2:5" x14ac:dyDescent="0.4">
      <c r="B59" s="3"/>
      <c r="C59" s="4"/>
      <c r="D59" s="4"/>
      <c r="E59" s="3"/>
    </row>
    <row r="60" spans="2:5" x14ac:dyDescent="0.4">
      <c r="B60" s="3"/>
      <c r="C60" s="4"/>
      <c r="D60" s="4"/>
      <c r="E60" s="3"/>
    </row>
    <row r="61" spans="2:5" x14ac:dyDescent="0.4">
      <c r="B61" s="3"/>
      <c r="C61" s="4"/>
      <c r="D61" s="4"/>
      <c r="E61" s="3"/>
    </row>
    <row r="62" spans="2:5" x14ac:dyDescent="0.4">
      <c r="B62" s="3"/>
      <c r="C62" s="4"/>
      <c r="D62" s="4"/>
      <c r="E62" s="3"/>
    </row>
    <row r="63" spans="2:5" x14ac:dyDescent="0.4">
      <c r="B63" s="3"/>
      <c r="C63" s="4"/>
      <c r="D63" s="4"/>
      <c r="E63" s="3"/>
    </row>
    <row r="64" spans="2:5" x14ac:dyDescent="0.4">
      <c r="B64" s="3"/>
      <c r="C64" s="4"/>
      <c r="D64" s="4"/>
      <c r="E64" s="3"/>
    </row>
    <row r="65" spans="2:5" x14ac:dyDescent="0.4">
      <c r="B65" s="3"/>
      <c r="C65" s="4"/>
      <c r="D65" s="4"/>
      <c r="E65" s="3"/>
    </row>
    <row r="66" spans="2:5" x14ac:dyDescent="0.4">
      <c r="B66" s="3"/>
      <c r="C66" s="4"/>
      <c r="D66" s="4"/>
      <c r="E66" s="3"/>
    </row>
    <row r="67" spans="2:5" x14ac:dyDescent="0.4">
      <c r="B67" s="3"/>
      <c r="C67" s="4"/>
      <c r="D67" s="4"/>
      <c r="E67" s="3"/>
    </row>
    <row r="68" spans="2:5" x14ac:dyDescent="0.4">
      <c r="B68" s="3"/>
      <c r="C68" s="4"/>
      <c r="D68" s="4"/>
      <c r="E68" s="3"/>
    </row>
    <row r="69" spans="2:5" x14ac:dyDescent="0.4">
      <c r="B69" s="3"/>
      <c r="C69" s="4"/>
      <c r="D69" s="4"/>
      <c r="E69" s="3"/>
    </row>
    <row r="70" spans="2:5" x14ac:dyDescent="0.4">
      <c r="B70" s="3"/>
      <c r="C70" s="4"/>
      <c r="D70" s="4"/>
      <c r="E70" s="3"/>
    </row>
    <row r="71" spans="2:5" x14ac:dyDescent="0.4">
      <c r="B71" s="3"/>
      <c r="C71" s="4"/>
      <c r="D71" s="4"/>
      <c r="E71" s="3"/>
    </row>
    <row r="72" spans="2:5" x14ac:dyDescent="0.4">
      <c r="B72" s="3"/>
      <c r="C72" s="4"/>
      <c r="D72" s="4"/>
      <c r="E72" s="3"/>
    </row>
    <row r="73" spans="2:5" x14ac:dyDescent="0.4">
      <c r="B73" s="3"/>
      <c r="C73" s="4"/>
      <c r="D73" s="4"/>
      <c r="E73" s="3"/>
    </row>
    <row r="74" spans="2:5" x14ac:dyDescent="0.4">
      <c r="B74" s="3"/>
      <c r="C74" s="4"/>
      <c r="D74" s="4"/>
      <c r="E74" s="3"/>
    </row>
    <row r="75" spans="2:5" x14ac:dyDescent="0.4">
      <c r="B75" s="3"/>
      <c r="C75" s="4"/>
      <c r="D75" s="4"/>
      <c r="E75" s="3"/>
    </row>
    <row r="76" spans="2:5" x14ac:dyDescent="0.4">
      <c r="B76" s="3"/>
      <c r="C76" s="4"/>
      <c r="D76" s="4"/>
      <c r="E76" s="3"/>
    </row>
    <row r="77" spans="2:5" x14ac:dyDescent="0.4">
      <c r="B77" s="3"/>
      <c r="C77" s="4"/>
      <c r="D77" s="4"/>
      <c r="E77" s="3"/>
    </row>
    <row r="78" spans="2:5" x14ac:dyDescent="0.4">
      <c r="B78" s="3"/>
      <c r="C78" s="4"/>
      <c r="D78" s="4"/>
      <c r="E78" s="3"/>
    </row>
    <row r="79" spans="2:5" x14ac:dyDescent="0.4">
      <c r="B79" s="3"/>
      <c r="C79" s="4"/>
      <c r="D79" s="4"/>
      <c r="E79" s="3"/>
    </row>
    <row r="80" spans="2:5" x14ac:dyDescent="0.4">
      <c r="B80" s="3"/>
      <c r="C80" s="4"/>
      <c r="D80" s="4"/>
      <c r="E80" s="3"/>
    </row>
    <row r="81" spans="2:5" x14ac:dyDescent="0.4">
      <c r="B81" s="3"/>
      <c r="C81" s="4"/>
      <c r="D81" s="4"/>
      <c r="E81" s="3"/>
    </row>
    <row r="82" spans="2:5" x14ac:dyDescent="0.4">
      <c r="B82" s="3"/>
      <c r="C82" s="4"/>
      <c r="D82" s="4"/>
      <c r="E82" s="3"/>
    </row>
    <row r="83" spans="2:5" x14ac:dyDescent="0.4">
      <c r="B83" s="3"/>
      <c r="C83" s="4"/>
      <c r="D83" s="4"/>
      <c r="E83" s="3"/>
    </row>
    <row r="84" spans="2:5" x14ac:dyDescent="0.4">
      <c r="B84" s="3"/>
      <c r="C84" s="4"/>
      <c r="D84" s="4"/>
      <c r="E84" s="3"/>
    </row>
    <row r="85" spans="2:5" x14ac:dyDescent="0.4">
      <c r="B85" s="3"/>
      <c r="C85" s="4"/>
      <c r="D85" s="4"/>
      <c r="E85" s="3"/>
    </row>
    <row r="86" spans="2:5" x14ac:dyDescent="0.4">
      <c r="B86" s="3"/>
      <c r="C86" s="4"/>
      <c r="D86" s="4"/>
      <c r="E86" s="3"/>
    </row>
    <row r="87" spans="2:5" x14ac:dyDescent="0.4">
      <c r="B87" s="3"/>
      <c r="C87" s="4"/>
      <c r="D87" s="4"/>
      <c r="E87" s="3"/>
    </row>
    <row r="88" spans="2:5" x14ac:dyDescent="0.4">
      <c r="B88" s="3"/>
      <c r="C88" s="4"/>
      <c r="D88" s="4"/>
      <c r="E88" s="3"/>
    </row>
    <row r="89" spans="2:5" x14ac:dyDescent="0.4">
      <c r="B89" s="3"/>
      <c r="C89" s="4"/>
      <c r="D89" s="4"/>
      <c r="E89" s="3"/>
    </row>
    <row r="90" spans="2:5" x14ac:dyDescent="0.4">
      <c r="B90" s="3"/>
      <c r="C90" s="4"/>
      <c r="D90" s="4"/>
      <c r="E90" s="3"/>
    </row>
    <row r="91" spans="2:5" x14ac:dyDescent="0.4">
      <c r="B91" s="3"/>
      <c r="C91" s="4"/>
      <c r="D91" s="4"/>
      <c r="E91" s="3"/>
    </row>
    <row r="92" spans="2:5" x14ac:dyDescent="0.4">
      <c r="B92" s="3"/>
      <c r="C92" s="4"/>
      <c r="D92" s="4"/>
      <c r="E92" s="3"/>
    </row>
    <row r="93" spans="2:5" x14ac:dyDescent="0.4">
      <c r="B93" s="3"/>
      <c r="C93" s="4"/>
      <c r="D93" s="4"/>
      <c r="E93" s="3"/>
    </row>
    <row r="94" spans="2:5" x14ac:dyDescent="0.4">
      <c r="B94" s="3"/>
      <c r="C94" s="4"/>
      <c r="D94" s="4"/>
      <c r="E94" s="3"/>
    </row>
    <row r="95" spans="2:5" x14ac:dyDescent="0.4">
      <c r="B95" s="3"/>
      <c r="C95" s="4"/>
      <c r="D95" s="4"/>
      <c r="E95" s="3"/>
    </row>
    <row r="96" spans="2:5" x14ac:dyDescent="0.4">
      <c r="B96" s="3"/>
      <c r="C96" s="4"/>
      <c r="D96" s="4"/>
      <c r="E96" s="3"/>
    </row>
    <row r="97" spans="2:5" x14ac:dyDescent="0.4">
      <c r="B97" s="3"/>
      <c r="C97" s="4"/>
      <c r="D97" s="4"/>
      <c r="E97" s="3"/>
    </row>
    <row r="98" spans="2:5" x14ac:dyDescent="0.4">
      <c r="B98" s="3"/>
      <c r="C98" s="4"/>
      <c r="D98" s="4"/>
      <c r="E98" s="3"/>
    </row>
    <row r="99" spans="2:5" x14ac:dyDescent="0.4">
      <c r="B99" s="3"/>
      <c r="C99" s="4"/>
      <c r="D99" s="4"/>
      <c r="E99" s="3"/>
    </row>
    <row r="100" spans="2:5" x14ac:dyDescent="0.4">
      <c r="B100" s="3"/>
      <c r="C100" s="4"/>
      <c r="D100" s="4"/>
      <c r="E10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0"/>
  <sheetViews>
    <sheetView workbookViewId="0">
      <selection activeCell="L13" sqref="L13"/>
    </sheetView>
  </sheetViews>
  <sheetFormatPr defaultRowHeight="17" x14ac:dyDescent="0.4"/>
  <cols>
    <col min="2" max="3" width="10" bestFit="1" customWidth="1"/>
    <col min="4" max="4" width="10" customWidth="1"/>
    <col min="5" max="5" width="10" bestFit="1" customWidth="1"/>
    <col min="6" max="6" width="4.90625" customWidth="1"/>
    <col min="7" max="7" width="7.81640625" customWidth="1"/>
    <col min="8" max="8" width="10" bestFit="1" customWidth="1"/>
    <col min="9" max="9" width="4.08984375" customWidth="1"/>
    <col min="11" max="11" width="10" bestFit="1" customWidth="1"/>
    <col min="12" max="12" width="14.7265625" bestFit="1" customWidth="1"/>
    <col min="14" max="14" width="30.36328125" bestFit="1" customWidth="1"/>
  </cols>
  <sheetData>
    <row r="2" spans="2:13" x14ac:dyDescent="0.4">
      <c r="B2" s="1" t="s">
        <v>6</v>
      </c>
      <c r="C2" s="1" t="s">
        <v>7</v>
      </c>
      <c r="D2" s="1" t="s">
        <v>10</v>
      </c>
      <c r="E2" s="1" t="s">
        <v>8</v>
      </c>
      <c r="G2" s="1" t="s">
        <v>0</v>
      </c>
      <c r="H2" s="1" t="s">
        <v>1</v>
      </c>
      <c r="J2" s="1" t="s">
        <v>2</v>
      </c>
      <c r="K2" s="1" t="s">
        <v>3</v>
      </c>
      <c r="L2" s="1" t="s">
        <v>4</v>
      </c>
      <c r="M2" s="1" t="s">
        <v>5</v>
      </c>
    </row>
    <row r="3" spans="2:13" x14ac:dyDescent="0.4">
      <c r="B3" s="7">
        <v>46112</v>
      </c>
      <c r="C3" s="4">
        <v>21800</v>
      </c>
      <c r="D3" s="4">
        <v>21831</v>
      </c>
      <c r="E3" s="3">
        <v>1000</v>
      </c>
      <c r="G3" s="2">
        <v>2023</v>
      </c>
      <c r="H3" s="3">
        <v>0.79</v>
      </c>
      <c r="J3" s="3">
        <f>SUM(E3:E100)</f>
        <v>6000</v>
      </c>
      <c r="K3" s="4">
        <f>SUM(C3:C100)/COUNT(C3:C100)</f>
        <v>21848.333333333332</v>
      </c>
      <c r="L3" s="5">
        <f>SUM(H3:H17)/COUNT(H3:H17)</f>
        <v>1.1274999999999999</v>
      </c>
      <c r="M3" s="6">
        <f>(L3*1000/K3)*100%</f>
        <v>5.1605767030284543E-2</v>
      </c>
    </row>
    <row r="4" spans="2:13" x14ac:dyDescent="0.4">
      <c r="B4" s="7">
        <v>46111</v>
      </c>
      <c r="C4" s="4">
        <v>22060</v>
      </c>
      <c r="D4" s="4">
        <v>22091</v>
      </c>
      <c r="E4" s="3">
        <v>1000</v>
      </c>
      <c r="G4" s="2">
        <v>2024</v>
      </c>
      <c r="H4" s="3">
        <v>1.73</v>
      </c>
    </row>
    <row r="5" spans="2:13" x14ac:dyDescent="0.4">
      <c r="B5" s="7">
        <v>46104</v>
      </c>
      <c r="C5" s="4">
        <v>22020</v>
      </c>
      <c r="D5" s="4">
        <v>22051</v>
      </c>
      <c r="E5" s="3">
        <v>1000</v>
      </c>
      <c r="G5" s="2">
        <v>2025</v>
      </c>
      <c r="H5" s="3">
        <v>0.88</v>
      </c>
    </row>
    <row r="6" spans="2:13" x14ac:dyDescent="0.4">
      <c r="B6" s="7">
        <v>46090</v>
      </c>
      <c r="C6" s="4">
        <v>21460</v>
      </c>
      <c r="D6" s="4">
        <v>21490</v>
      </c>
      <c r="E6" s="3">
        <v>1000</v>
      </c>
      <c r="G6" s="2">
        <v>2026</v>
      </c>
      <c r="H6" s="3">
        <v>1.1100000000000001</v>
      </c>
    </row>
    <row r="7" spans="2:13" x14ac:dyDescent="0.4">
      <c r="B7" s="7">
        <v>46090</v>
      </c>
      <c r="C7" s="4">
        <v>21650</v>
      </c>
      <c r="D7" s="4">
        <v>21680</v>
      </c>
      <c r="E7" s="3">
        <v>1000</v>
      </c>
      <c r="G7" s="2">
        <v>2027</v>
      </c>
      <c r="H7" s="3"/>
    </row>
    <row r="8" spans="2:13" x14ac:dyDescent="0.4">
      <c r="B8" s="7">
        <v>46085</v>
      </c>
      <c r="C8" s="4">
        <v>22100</v>
      </c>
      <c r="D8" s="4">
        <v>22131</v>
      </c>
      <c r="E8" s="3">
        <v>1000</v>
      </c>
      <c r="G8" s="2">
        <v>2028</v>
      </c>
      <c r="H8" s="3"/>
    </row>
    <row r="9" spans="2:13" x14ac:dyDescent="0.4">
      <c r="B9" s="7"/>
      <c r="C9" s="4"/>
      <c r="D9" s="4"/>
      <c r="E9" s="3"/>
      <c r="G9" s="2">
        <v>2029</v>
      </c>
      <c r="H9" s="3"/>
    </row>
    <row r="10" spans="2:13" x14ac:dyDescent="0.4">
      <c r="B10" s="7"/>
      <c r="C10" s="4"/>
      <c r="D10" s="4"/>
      <c r="E10" s="3"/>
      <c r="G10" s="2">
        <v>2030</v>
      </c>
      <c r="H10" s="3"/>
    </row>
    <row r="11" spans="2:13" x14ac:dyDescent="0.4">
      <c r="B11" s="7"/>
      <c r="C11" s="4"/>
      <c r="D11" s="4"/>
      <c r="E11" s="3"/>
      <c r="G11" s="2">
        <v>2031</v>
      </c>
      <c r="H11" s="3"/>
    </row>
    <row r="12" spans="2:13" x14ac:dyDescent="0.4">
      <c r="B12" s="7"/>
      <c r="C12" s="4"/>
      <c r="D12" s="4"/>
      <c r="E12" s="3"/>
      <c r="G12" s="2">
        <v>2032</v>
      </c>
      <c r="H12" s="3"/>
    </row>
    <row r="13" spans="2:13" x14ac:dyDescent="0.4">
      <c r="B13" s="7"/>
      <c r="C13" s="4"/>
      <c r="D13" s="4"/>
      <c r="E13" s="3"/>
      <c r="G13" s="2">
        <v>2033</v>
      </c>
      <c r="H13" s="3"/>
    </row>
    <row r="14" spans="2:13" x14ac:dyDescent="0.4">
      <c r="B14" s="7"/>
      <c r="C14" s="4"/>
      <c r="D14" s="4"/>
      <c r="E14" s="3"/>
      <c r="G14" s="2">
        <v>2034</v>
      </c>
      <c r="H14" s="3"/>
    </row>
    <row r="15" spans="2:13" x14ac:dyDescent="0.4">
      <c r="B15" s="7"/>
      <c r="C15" s="4"/>
      <c r="D15" s="4"/>
      <c r="E15" s="3"/>
      <c r="G15" s="2">
        <v>2035</v>
      </c>
      <c r="H15" s="3"/>
    </row>
    <row r="16" spans="2:13" x14ac:dyDescent="0.4">
      <c r="B16" s="7"/>
      <c r="C16" s="4"/>
      <c r="D16" s="4"/>
      <c r="E16" s="3"/>
      <c r="G16" s="2">
        <v>2036</v>
      </c>
      <c r="H16" s="3"/>
    </row>
    <row r="17" spans="2:8" x14ac:dyDescent="0.4">
      <c r="B17" s="7"/>
      <c r="C17" s="4"/>
      <c r="D17" s="4"/>
      <c r="E17" s="3"/>
      <c r="G17" s="2">
        <v>2037</v>
      </c>
      <c r="H17" s="3"/>
    </row>
    <row r="18" spans="2:8" x14ac:dyDescent="0.4">
      <c r="B18" s="3"/>
      <c r="C18" s="4"/>
      <c r="D18" s="4"/>
      <c r="E18" s="3"/>
    </row>
    <row r="19" spans="2:8" x14ac:dyDescent="0.4">
      <c r="B19" s="3"/>
      <c r="C19" s="4"/>
      <c r="D19" s="4"/>
      <c r="E19" s="3"/>
    </row>
    <row r="20" spans="2:8" x14ac:dyDescent="0.4">
      <c r="B20" s="3"/>
      <c r="C20" s="4"/>
      <c r="D20" s="4"/>
      <c r="E20" s="3"/>
    </row>
    <row r="21" spans="2:8" x14ac:dyDescent="0.4">
      <c r="B21" s="3"/>
      <c r="C21" s="4"/>
      <c r="D21" s="4"/>
      <c r="E21" s="3"/>
    </row>
    <row r="22" spans="2:8" x14ac:dyDescent="0.4">
      <c r="B22" s="3"/>
      <c r="C22" s="4"/>
      <c r="D22" s="4"/>
      <c r="E22" s="3"/>
    </row>
    <row r="23" spans="2:8" x14ac:dyDescent="0.4">
      <c r="B23" s="3"/>
      <c r="C23" s="4"/>
      <c r="D23" s="4"/>
      <c r="E23" s="3"/>
    </row>
    <row r="24" spans="2:8" x14ac:dyDescent="0.4">
      <c r="B24" s="3"/>
      <c r="C24" s="4"/>
      <c r="D24" s="4"/>
      <c r="E24" s="3"/>
    </row>
    <row r="25" spans="2:8" x14ac:dyDescent="0.4">
      <c r="B25" s="3"/>
      <c r="C25" s="4"/>
      <c r="D25" s="4"/>
      <c r="E25" s="3"/>
    </row>
    <row r="26" spans="2:8" x14ac:dyDescent="0.4">
      <c r="B26" s="3"/>
      <c r="C26" s="4"/>
      <c r="D26" s="4"/>
      <c r="E26" s="3"/>
    </row>
    <row r="27" spans="2:8" x14ac:dyDescent="0.4">
      <c r="B27" s="3"/>
      <c r="C27" s="4"/>
      <c r="D27" s="4"/>
      <c r="E27" s="3"/>
    </row>
    <row r="28" spans="2:8" x14ac:dyDescent="0.4">
      <c r="B28" s="3"/>
      <c r="C28" s="4"/>
      <c r="D28" s="4"/>
      <c r="E28" s="3"/>
    </row>
    <row r="29" spans="2:8" x14ac:dyDescent="0.4">
      <c r="B29" s="3"/>
      <c r="C29" s="4"/>
      <c r="D29" s="4"/>
      <c r="E29" s="3"/>
    </row>
    <row r="30" spans="2:8" x14ac:dyDescent="0.4">
      <c r="B30" s="3"/>
      <c r="C30" s="4"/>
      <c r="D30" s="4"/>
      <c r="E30" s="3"/>
    </row>
    <row r="31" spans="2:8" x14ac:dyDescent="0.4">
      <c r="B31" s="3"/>
      <c r="C31" s="4"/>
      <c r="D31" s="4"/>
      <c r="E31" s="3"/>
    </row>
    <row r="32" spans="2:8" x14ac:dyDescent="0.4">
      <c r="B32" s="3"/>
      <c r="C32" s="4"/>
      <c r="D32" s="4"/>
      <c r="E32" s="3"/>
    </row>
    <row r="33" spans="2:5" x14ac:dyDescent="0.4">
      <c r="B33" s="3"/>
      <c r="C33" s="4"/>
      <c r="D33" s="4"/>
      <c r="E33" s="3"/>
    </row>
    <row r="34" spans="2:5" x14ac:dyDescent="0.4">
      <c r="B34" s="3"/>
      <c r="C34" s="4"/>
      <c r="D34" s="4"/>
      <c r="E34" s="3"/>
    </row>
    <row r="35" spans="2:5" x14ac:dyDescent="0.4">
      <c r="B35" s="3"/>
      <c r="C35" s="4"/>
      <c r="D35" s="4"/>
      <c r="E35" s="3"/>
    </row>
    <row r="36" spans="2:5" x14ac:dyDescent="0.4">
      <c r="B36" s="3"/>
      <c r="C36" s="4"/>
      <c r="D36" s="4"/>
      <c r="E36" s="3"/>
    </row>
    <row r="37" spans="2:5" x14ac:dyDescent="0.4">
      <c r="B37" s="3"/>
      <c r="C37" s="4"/>
      <c r="D37" s="4"/>
      <c r="E37" s="3"/>
    </row>
    <row r="38" spans="2:5" x14ac:dyDescent="0.4">
      <c r="B38" s="3"/>
      <c r="C38" s="4"/>
      <c r="D38" s="4"/>
      <c r="E38" s="3"/>
    </row>
    <row r="39" spans="2:5" x14ac:dyDescent="0.4">
      <c r="B39" s="3"/>
      <c r="C39" s="4"/>
      <c r="D39" s="4"/>
      <c r="E39" s="3"/>
    </row>
    <row r="40" spans="2:5" x14ac:dyDescent="0.4">
      <c r="B40" s="3"/>
      <c r="C40" s="4"/>
      <c r="D40" s="4"/>
      <c r="E40" s="3"/>
    </row>
    <row r="41" spans="2:5" x14ac:dyDescent="0.4">
      <c r="B41" s="3"/>
      <c r="C41" s="4"/>
      <c r="D41" s="4"/>
      <c r="E41" s="3"/>
    </row>
    <row r="42" spans="2:5" x14ac:dyDescent="0.4">
      <c r="B42" s="3"/>
      <c r="C42" s="4"/>
      <c r="D42" s="4"/>
      <c r="E42" s="3"/>
    </row>
    <row r="43" spans="2:5" x14ac:dyDescent="0.4">
      <c r="B43" s="3"/>
      <c r="C43" s="4"/>
      <c r="D43" s="4"/>
      <c r="E43" s="3"/>
    </row>
    <row r="44" spans="2:5" x14ac:dyDescent="0.4">
      <c r="B44" s="3"/>
      <c r="C44" s="4"/>
      <c r="D44" s="4"/>
      <c r="E44" s="3"/>
    </row>
    <row r="45" spans="2:5" x14ac:dyDescent="0.4">
      <c r="B45" s="3"/>
      <c r="C45" s="4"/>
      <c r="D45" s="4"/>
      <c r="E45" s="3"/>
    </row>
    <row r="46" spans="2:5" x14ac:dyDescent="0.4">
      <c r="B46" s="3"/>
      <c r="C46" s="4"/>
      <c r="D46" s="4"/>
      <c r="E46" s="3"/>
    </row>
    <row r="47" spans="2:5" x14ac:dyDescent="0.4">
      <c r="B47" s="3"/>
      <c r="C47" s="4"/>
      <c r="D47" s="4"/>
      <c r="E47" s="3"/>
    </row>
    <row r="48" spans="2:5" x14ac:dyDescent="0.4">
      <c r="B48" s="3"/>
      <c r="C48" s="4"/>
      <c r="D48" s="4"/>
      <c r="E48" s="3"/>
    </row>
    <row r="49" spans="2:5" x14ac:dyDescent="0.4">
      <c r="B49" s="3"/>
      <c r="C49" s="4"/>
      <c r="D49" s="4"/>
      <c r="E49" s="3"/>
    </row>
    <row r="50" spans="2:5" x14ac:dyDescent="0.4">
      <c r="B50" s="3"/>
      <c r="C50" s="4"/>
      <c r="D50" s="4"/>
      <c r="E50" s="3"/>
    </row>
    <row r="51" spans="2:5" x14ac:dyDescent="0.4">
      <c r="B51" s="3"/>
      <c r="C51" s="4"/>
      <c r="D51" s="4"/>
      <c r="E51" s="3"/>
    </row>
    <row r="52" spans="2:5" x14ac:dyDescent="0.4">
      <c r="B52" s="3"/>
      <c r="C52" s="4"/>
      <c r="D52" s="4"/>
      <c r="E52" s="3"/>
    </row>
    <row r="53" spans="2:5" x14ac:dyDescent="0.4">
      <c r="B53" s="3"/>
      <c r="C53" s="4"/>
      <c r="D53" s="4"/>
      <c r="E53" s="3"/>
    </row>
    <row r="54" spans="2:5" x14ac:dyDescent="0.4">
      <c r="B54" s="3"/>
      <c r="C54" s="4"/>
      <c r="D54" s="4"/>
      <c r="E54" s="3"/>
    </row>
    <row r="55" spans="2:5" x14ac:dyDescent="0.4">
      <c r="B55" s="3"/>
      <c r="C55" s="4"/>
      <c r="D55" s="4"/>
      <c r="E55" s="3"/>
    </row>
    <row r="56" spans="2:5" x14ac:dyDescent="0.4">
      <c r="B56" s="3"/>
      <c r="C56" s="4"/>
      <c r="D56" s="4"/>
      <c r="E56" s="3"/>
    </row>
    <row r="57" spans="2:5" x14ac:dyDescent="0.4">
      <c r="B57" s="3"/>
      <c r="C57" s="4"/>
      <c r="D57" s="4"/>
      <c r="E57" s="3"/>
    </row>
    <row r="58" spans="2:5" x14ac:dyDescent="0.4">
      <c r="B58" s="3"/>
      <c r="C58" s="4"/>
      <c r="D58" s="4"/>
      <c r="E58" s="3"/>
    </row>
    <row r="59" spans="2:5" x14ac:dyDescent="0.4">
      <c r="B59" s="3"/>
      <c r="C59" s="4"/>
      <c r="D59" s="4"/>
      <c r="E59" s="3"/>
    </row>
    <row r="60" spans="2:5" x14ac:dyDescent="0.4">
      <c r="B60" s="3"/>
      <c r="C60" s="4"/>
      <c r="D60" s="4"/>
      <c r="E60" s="3"/>
    </row>
    <row r="61" spans="2:5" x14ac:dyDescent="0.4">
      <c r="B61" s="3"/>
      <c r="C61" s="4"/>
      <c r="D61" s="4"/>
      <c r="E61" s="3"/>
    </row>
    <row r="62" spans="2:5" x14ac:dyDescent="0.4">
      <c r="B62" s="3"/>
      <c r="C62" s="4"/>
      <c r="D62" s="4"/>
      <c r="E62" s="3"/>
    </row>
    <row r="63" spans="2:5" x14ac:dyDescent="0.4">
      <c r="B63" s="3"/>
      <c r="C63" s="4"/>
      <c r="D63" s="4"/>
      <c r="E63" s="3"/>
    </row>
    <row r="64" spans="2:5" x14ac:dyDescent="0.4">
      <c r="B64" s="3"/>
      <c r="C64" s="4"/>
      <c r="D64" s="4"/>
      <c r="E64" s="3"/>
    </row>
    <row r="65" spans="2:5" x14ac:dyDescent="0.4">
      <c r="B65" s="3"/>
      <c r="C65" s="4"/>
      <c r="D65" s="4"/>
      <c r="E65" s="3"/>
    </row>
    <row r="66" spans="2:5" x14ac:dyDescent="0.4">
      <c r="B66" s="3"/>
      <c r="C66" s="4"/>
      <c r="D66" s="4"/>
      <c r="E66" s="3"/>
    </row>
    <row r="67" spans="2:5" x14ac:dyDescent="0.4">
      <c r="B67" s="3"/>
      <c r="C67" s="4"/>
      <c r="D67" s="4"/>
      <c r="E67" s="3"/>
    </row>
    <row r="68" spans="2:5" x14ac:dyDescent="0.4">
      <c r="B68" s="3"/>
      <c r="C68" s="4"/>
      <c r="D68" s="4"/>
      <c r="E68" s="3"/>
    </row>
    <row r="69" spans="2:5" x14ac:dyDescent="0.4">
      <c r="B69" s="3"/>
      <c r="C69" s="4"/>
      <c r="D69" s="4"/>
      <c r="E69" s="3"/>
    </row>
    <row r="70" spans="2:5" x14ac:dyDescent="0.4">
      <c r="B70" s="3"/>
      <c r="C70" s="4"/>
      <c r="D70" s="4"/>
      <c r="E70" s="3"/>
    </row>
    <row r="71" spans="2:5" x14ac:dyDescent="0.4">
      <c r="B71" s="3"/>
      <c r="C71" s="4"/>
      <c r="D71" s="4"/>
      <c r="E71" s="3"/>
    </row>
    <row r="72" spans="2:5" x14ac:dyDescent="0.4">
      <c r="B72" s="3"/>
      <c r="C72" s="4"/>
      <c r="D72" s="4"/>
      <c r="E72" s="3"/>
    </row>
    <row r="73" spans="2:5" x14ac:dyDescent="0.4">
      <c r="B73" s="3"/>
      <c r="C73" s="4"/>
      <c r="D73" s="4"/>
      <c r="E73" s="3"/>
    </row>
    <row r="74" spans="2:5" x14ac:dyDescent="0.4">
      <c r="B74" s="3"/>
      <c r="C74" s="4"/>
      <c r="D74" s="4"/>
      <c r="E74" s="3"/>
    </row>
    <row r="75" spans="2:5" x14ac:dyDescent="0.4">
      <c r="B75" s="3"/>
      <c r="C75" s="4"/>
      <c r="D75" s="4"/>
      <c r="E75" s="3"/>
    </row>
    <row r="76" spans="2:5" x14ac:dyDescent="0.4">
      <c r="B76" s="3"/>
      <c r="C76" s="4"/>
      <c r="D76" s="4"/>
      <c r="E76" s="3"/>
    </row>
    <row r="77" spans="2:5" x14ac:dyDescent="0.4">
      <c r="B77" s="3"/>
      <c r="C77" s="4"/>
      <c r="D77" s="4"/>
      <c r="E77" s="3"/>
    </row>
    <row r="78" spans="2:5" x14ac:dyDescent="0.4">
      <c r="B78" s="3"/>
      <c r="C78" s="4"/>
      <c r="D78" s="4"/>
      <c r="E78" s="3"/>
    </row>
    <row r="79" spans="2:5" x14ac:dyDescent="0.4">
      <c r="B79" s="3"/>
      <c r="C79" s="4"/>
      <c r="D79" s="4"/>
      <c r="E79" s="3"/>
    </row>
    <row r="80" spans="2:5" x14ac:dyDescent="0.4">
      <c r="B80" s="3"/>
      <c r="C80" s="4"/>
      <c r="D80" s="4"/>
      <c r="E80" s="3"/>
    </row>
    <row r="81" spans="2:5" x14ac:dyDescent="0.4">
      <c r="B81" s="3"/>
      <c r="C81" s="4"/>
      <c r="D81" s="4"/>
      <c r="E81" s="3"/>
    </row>
    <row r="82" spans="2:5" x14ac:dyDescent="0.4">
      <c r="B82" s="3"/>
      <c r="C82" s="4"/>
      <c r="D82" s="4"/>
      <c r="E82" s="3"/>
    </row>
    <row r="83" spans="2:5" x14ac:dyDescent="0.4">
      <c r="B83" s="3"/>
      <c r="C83" s="4"/>
      <c r="D83" s="4"/>
      <c r="E83" s="3"/>
    </row>
    <row r="84" spans="2:5" x14ac:dyDescent="0.4">
      <c r="B84" s="3"/>
      <c r="C84" s="4"/>
      <c r="D84" s="4"/>
      <c r="E84" s="3"/>
    </row>
    <row r="85" spans="2:5" x14ac:dyDescent="0.4">
      <c r="B85" s="3"/>
      <c r="C85" s="4"/>
      <c r="D85" s="4"/>
      <c r="E85" s="3"/>
    </row>
    <row r="86" spans="2:5" x14ac:dyDescent="0.4">
      <c r="B86" s="3"/>
      <c r="C86" s="4"/>
      <c r="D86" s="4"/>
      <c r="E86" s="3"/>
    </row>
    <row r="87" spans="2:5" x14ac:dyDescent="0.4">
      <c r="B87" s="3"/>
      <c r="C87" s="4"/>
      <c r="D87" s="4"/>
      <c r="E87" s="3"/>
    </row>
    <row r="88" spans="2:5" x14ac:dyDescent="0.4">
      <c r="B88" s="3"/>
      <c r="C88" s="4"/>
      <c r="D88" s="4"/>
      <c r="E88" s="3"/>
    </row>
    <row r="89" spans="2:5" x14ac:dyDescent="0.4">
      <c r="B89" s="3"/>
      <c r="C89" s="4"/>
      <c r="D89" s="4"/>
      <c r="E89" s="3"/>
    </row>
    <row r="90" spans="2:5" x14ac:dyDescent="0.4">
      <c r="B90" s="3"/>
      <c r="C90" s="4"/>
      <c r="D90" s="4"/>
      <c r="E90" s="3"/>
    </row>
    <row r="91" spans="2:5" x14ac:dyDescent="0.4">
      <c r="B91" s="3"/>
      <c r="C91" s="4"/>
      <c r="D91" s="4"/>
      <c r="E91" s="3"/>
    </row>
    <row r="92" spans="2:5" x14ac:dyDescent="0.4">
      <c r="B92" s="3"/>
      <c r="C92" s="4"/>
      <c r="D92" s="4"/>
      <c r="E92" s="3"/>
    </row>
    <row r="93" spans="2:5" x14ac:dyDescent="0.4">
      <c r="B93" s="3"/>
      <c r="C93" s="4"/>
      <c r="D93" s="4"/>
      <c r="E93" s="3"/>
    </row>
    <row r="94" spans="2:5" x14ac:dyDescent="0.4">
      <c r="B94" s="3"/>
      <c r="C94" s="4"/>
      <c r="D94" s="4"/>
      <c r="E94" s="3"/>
    </row>
    <row r="95" spans="2:5" x14ac:dyDescent="0.4">
      <c r="B95" s="3"/>
      <c r="C95" s="4"/>
      <c r="D95" s="4"/>
      <c r="E95" s="3"/>
    </row>
    <row r="96" spans="2:5" x14ac:dyDescent="0.4">
      <c r="B96" s="3"/>
      <c r="C96" s="4"/>
      <c r="D96" s="4"/>
      <c r="E96" s="3"/>
    </row>
    <row r="97" spans="2:5" x14ac:dyDescent="0.4">
      <c r="B97" s="3"/>
      <c r="C97" s="4"/>
      <c r="D97" s="4"/>
      <c r="E97" s="3"/>
    </row>
    <row r="98" spans="2:5" x14ac:dyDescent="0.4">
      <c r="B98" s="3"/>
      <c r="C98" s="4"/>
      <c r="D98" s="4"/>
      <c r="E98" s="3"/>
    </row>
    <row r="99" spans="2:5" x14ac:dyDescent="0.4">
      <c r="B99" s="3"/>
      <c r="C99" s="4"/>
      <c r="D99" s="4"/>
      <c r="E99" s="3"/>
    </row>
    <row r="100" spans="2:5" x14ac:dyDescent="0.4">
      <c r="B100" s="3"/>
      <c r="C100" s="4"/>
      <c r="D100" s="4"/>
      <c r="E10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00712</vt:lpstr>
      <vt:lpstr>00878</vt:lpstr>
      <vt:lpstr>00929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kevin.ph.huang</dc:creator>
  <cp:lastModifiedBy>kevin.ph.huang</cp:lastModifiedBy>
  <dcterms:created xsi:type="dcterms:W3CDTF">2026-07-03T08:08:25Z</dcterms:created>
  <dcterms:modified xsi:type="dcterms:W3CDTF">2026-07-30T01:55:41Z</dcterms:modified>
</cp:coreProperties>
</file>