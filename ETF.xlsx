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kevin.files\"/>
    </mc:Choice>
  </mc:AlternateContent>
  <bookViews>
    <workbookView xWindow="0" yWindow="0" windowWidth="20490" windowHeight="7610" activeTab="2"/>
  </bookViews>
  <sheets>
    <sheet name="Summary" sheetId="3" r:id="rId1"/>
    <sheet name="2024年度" sheetId="1" r:id="rId2"/>
    <sheet name="2025年度 " sheetId="2" r:id="rId3"/>
    <sheet name="2026年度 " sheetId="4" r:id="rId4"/>
    <sheet name="2027年度 " sheetId="5" r:id="rId5"/>
    <sheet name="2028年度 " sheetId="6" r:id="rId6"/>
    <sheet name="2029年度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7" i="4" l="1"/>
  <c r="Q8" i="4" l="1"/>
  <c r="P4" i="4" l="1"/>
  <c r="P25" i="4"/>
  <c r="P26" i="4"/>
  <c r="P27" i="4"/>
  <c r="P28" i="4"/>
  <c r="P29" i="4"/>
  <c r="P30" i="4"/>
  <c r="P31" i="4"/>
  <c r="P32" i="4"/>
  <c r="P33" i="4"/>
  <c r="Q5" i="2" l="1"/>
  <c r="Q7" i="2"/>
  <c r="P28" i="2" l="1"/>
  <c r="P29" i="2"/>
  <c r="P30" i="2"/>
  <c r="P31" i="2"/>
  <c r="P32" i="2"/>
  <c r="P33" i="2"/>
  <c r="P27" i="1"/>
  <c r="P28" i="1"/>
  <c r="P29" i="1"/>
  <c r="P30" i="1"/>
  <c r="P31" i="1"/>
  <c r="P32" i="1"/>
  <c r="D8" i="3"/>
  <c r="D7" i="3"/>
  <c r="D6" i="3"/>
  <c r="N36" i="2"/>
  <c r="M36" i="2"/>
  <c r="L36" i="2"/>
  <c r="K36" i="2"/>
  <c r="J36" i="2"/>
  <c r="I36" i="2"/>
  <c r="H36" i="2"/>
  <c r="G36" i="2"/>
  <c r="F36" i="2"/>
  <c r="E36" i="2"/>
  <c r="D36" i="2"/>
  <c r="C36" i="2"/>
  <c r="P34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N29" i="7"/>
  <c r="M29" i="7"/>
  <c r="L29" i="7"/>
  <c r="K29" i="7"/>
  <c r="J29" i="7"/>
  <c r="I29" i="7"/>
  <c r="H29" i="7"/>
  <c r="G29" i="7"/>
  <c r="F29" i="7"/>
  <c r="E29" i="7"/>
  <c r="D29" i="7"/>
  <c r="C29" i="7"/>
  <c r="P29" i="7" s="1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N10" i="7"/>
  <c r="M10" i="7"/>
  <c r="L10" i="7"/>
  <c r="K10" i="7"/>
  <c r="J10" i="7"/>
  <c r="I10" i="7"/>
  <c r="H10" i="7"/>
  <c r="G10" i="7"/>
  <c r="F10" i="7"/>
  <c r="F11" i="7" s="1"/>
  <c r="E10" i="7"/>
  <c r="D10" i="7"/>
  <c r="C10" i="7"/>
  <c r="P8" i="7"/>
  <c r="P7" i="7"/>
  <c r="P6" i="7"/>
  <c r="P5" i="7"/>
  <c r="P4" i="7"/>
  <c r="P3" i="7"/>
  <c r="N29" i="6"/>
  <c r="M29" i="6"/>
  <c r="L29" i="6"/>
  <c r="K29" i="6"/>
  <c r="J29" i="6"/>
  <c r="I29" i="6"/>
  <c r="H29" i="6"/>
  <c r="G29" i="6"/>
  <c r="F29" i="6"/>
  <c r="E29" i="6"/>
  <c r="D29" i="6"/>
  <c r="C29" i="6"/>
  <c r="P29" i="6" s="1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N10" i="6"/>
  <c r="M10" i="6"/>
  <c r="L10" i="6"/>
  <c r="K10" i="6"/>
  <c r="J10" i="6"/>
  <c r="I11" i="6" s="1"/>
  <c r="I10" i="6"/>
  <c r="H10" i="6"/>
  <c r="G10" i="6"/>
  <c r="F10" i="6"/>
  <c r="F11" i="6" s="1"/>
  <c r="E10" i="6"/>
  <c r="D10" i="6"/>
  <c r="C11" i="6" s="1"/>
  <c r="C10" i="6"/>
  <c r="P8" i="6"/>
  <c r="P7" i="6"/>
  <c r="P6" i="6"/>
  <c r="P5" i="6"/>
  <c r="P4" i="6"/>
  <c r="P3" i="6"/>
  <c r="N29" i="5"/>
  <c r="M29" i="5"/>
  <c r="L29" i="5"/>
  <c r="K29" i="5"/>
  <c r="J29" i="5"/>
  <c r="I29" i="5"/>
  <c r="H29" i="5"/>
  <c r="G29" i="5"/>
  <c r="F29" i="5"/>
  <c r="E29" i="5"/>
  <c r="D29" i="5"/>
  <c r="C29" i="5"/>
  <c r="P29" i="5" s="1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N10" i="5"/>
  <c r="M10" i="5"/>
  <c r="L10" i="5"/>
  <c r="K10" i="5"/>
  <c r="J10" i="5"/>
  <c r="I10" i="5"/>
  <c r="H10" i="5"/>
  <c r="G10" i="5"/>
  <c r="F10" i="5"/>
  <c r="F11" i="5" s="1"/>
  <c r="E10" i="5"/>
  <c r="D10" i="5"/>
  <c r="C10" i="5"/>
  <c r="P8" i="5"/>
  <c r="P7" i="5"/>
  <c r="P6" i="5"/>
  <c r="P5" i="5"/>
  <c r="P4" i="5"/>
  <c r="P3" i="5"/>
  <c r="N36" i="4"/>
  <c r="M36" i="4"/>
  <c r="L36" i="4"/>
  <c r="K36" i="4"/>
  <c r="J36" i="4"/>
  <c r="I36" i="4"/>
  <c r="H36" i="4"/>
  <c r="G36" i="4"/>
  <c r="F36" i="4"/>
  <c r="E36" i="4"/>
  <c r="D36" i="4"/>
  <c r="C36" i="4"/>
  <c r="P34" i="4"/>
  <c r="P24" i="4"/>
  <c r="P23" i="4"/>
  <c r="P22" i="4"/>
  <c r="P21" i="4"/>
  <c r="P20" i="4"/>
  <c r="P19" i="4"/>
  <c r="P18" i="4"/>
  <c r="P16" i="4"/>
  <c r="N12" i="4"/>
  <c r="M12" i="4"/>
  <c r="L12" i="4"/>
  <c r="K12" i="4"/>
  <c r="J12" i="4"/>
  <c r="I12" i="4"/>
  <c r="H12" i="4"/>
  <c r="G12" i="4"/>
  <c r="F12" i="4"/>
  <c r="E12" i="4"/>
  <c r="D12" i="4"/>
  <c r="C12" i="4"/>
  <c r="P10" i="4"/>
  <c r="Q10" i="4" s="1"/>
  <c r="P9" i="4"/>
  <c r="P8" i="4"/>
  <c r="P6" i="4"/>
  <c r="P5" i="4"/>
  <c r="P3" i="4"/>
  <c r="P19" i="1"/>
  <c r="P20" i="1"/>
  <c r="P21" i="1"/>
  <c r="P22" i="1"/>
  <c r="P23" i="1"/>
  <c r="P24" i="1"/>
  <c r="P25" i="1"/>
  <c r="P26" i="1"/>
  <c r="N35" i="1"/>
  <c r="M35" i="1"/>
  <c r="L35" i="1"/>
  <c r="K35" i="1"/>
  <c r="J35" i="1"/>
  <c r="I35" i="1"/>
  <c r="H35" i="1"/>
  <c r="G35" i="1"/>
  <c r="F35" i="1"/>
  <c r="E35" i="1"/>
  <c r="D35" i="1"/>
  <c r="C35" i="1"/>
  <c r="P33" i="1"/>
  <c r="P18" i="1"/>
  <c r="P17" i="1"/>
  <c r="P16" i="1"/>
  <c r="P15" i="1"/>
  <c r="P14" i="1"/>
  <c r="F11" i="1"/>
  <c r="I11" i="1"/>
  <c r="L11" i="1"/>
  <c r="C11" i="1"/>
  <c r="N11" i="2"/>
  <c r="M11" i="2"/>
  <c r="L11" i="2"/>
  <c r="K11" i="2"/>
  <c r="J11" i="2"/>
  <c r="I11" i="2"/>
  <c r="H11" i="2"/>
  <c r="G11" i="2"/>
  <c r="F11" i="2"/>
  <c r="F12" i="2" s="1"/>
  <c r="E11" i="2"/>
  <c r="D11" i="2"/>
  <c r="C11" i="2"/>
  <c r="C12" i="2" s="1"/>
  <c r="P9" i="2"/>
  <c r="Q9" i="2" s="1"/>
  <c r="P8" i="2"/>
  <c r="Q8" i="2" s="1"/>
  <c r="P7" i="2"/>
  <c r="P6" i="2"/>
  <c r="Q6" i="2" s="1"/>
  <c r="P5" i="2"/>
  <c r="P3" i="2"/>
  <c r="Q3" i="2" s="1"/>
  <c r="P4" i="1"/>
  <c r="P5" i="1"/>
  <c r="P6" i="1"/>
  <c r="P7" i="1"/>
  <c r="P8" i="1"/>
  <c r="P3" i="1"/>
  <c r="D10" i="1"/>
  <c r="E10" i="1"/>
  <c r="F10" i="1"/>
  <c r="G10" i="1"/>
  <c r="H10" i="1"/>
  <c r="I10" i="1"/>
  <c r="J10" i="1"/>
  <c r="K10" i="1"/>
  <c r="L10" i="1"/>
  <c r="M10" i="1"/>
  <c r="N10" i="1"/>
  <c r="C10" i="1"/>
  <c r="F13" i="4" l="1"/>
  <c r="C13" i="4"/>
  <c r="P36" i="4"/>
  <c r="L12" i="2"/>
  <c r="I12" i="2"/>
  <c r="P36" i="2"/>
  <c r="L11" i="7"/>
  <c r="P10" i="7"/>
  <c r="I11" i="7"/>
  <c r="L11" i="6"/>
  <c r="P10" i="6"/>
  <c r="L11" i="5"/>
  <c r="P10" i="5"/>
  <c r="I11" i="5"/>
  <c r="L13" i="4"/>
  <c r="I13" i="4"/>
  <c r="C11" i="7"/>
  <c r="C11" i="5"/>
  <c r="P12" i="4"/>
  <c r="P35" i="1"/>
  <c r="D3" i="3" s="1"/>
  <c r="P11" i="2"/>
  <c r="P10" i="1"/>
  <c r="D5" i="3" l="1"/>
  <c r="D4" i="3"/>
  <c r="D25" i="3" l="1"/>
</calcChain>
</file>

<file path=xl/comments1.xml><?xml version="1.0" encoding="utf-8"?>
<comments xmlns="http://schemas.openxmlformats.org/spreadsheetml/2006/main">
  <authors>
    <author>kevin.ph.huang</author>
  </authors>
  <commentList>
    <comment ref="B3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已賣
</t>
        </r>
      </text>
    </comment>
  </commentList>
</comments>
</file>

<file path=xl/comments2.xml><?xml version="1.0" encoding="utf-8"?>
<comments xmlns="http://schemas.openxmlformats.org/spreadsheetml/2006/main">
  <authors>
    <author>kevin.ph.huang</author>
  </authors>
  <commentList>
    <comment ref="C8" authorId="0" shapeId="0">
      <text>
        <r>
          <rPr>
            <sz val="9"/>
            <color indexed="81"/>
            <rFont val="Tahoma"/>
            <family val="2"/>
          </rPr>
          <t>60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105</t>
        </r>
      </text>
    </comment>
  </commentList>
</comments>
</file>

<file path=xl/sharedStrings.xml><?xml version="1.0" encoding="utf-8"?>
<sst xmlns="http://schemas.openxmlformats.org/spreadsheetml/2006/main" count="286" uniqueCount="110">
  <si>
    <t>0056</t>
    <phoneticPr fontId="2" type="noConversion"/>
  </si>
  <si>
    <t>00878</t>
    <phoneticPr fontId="2" type="noConversion"/>
  </si>
  <si>
    <t>00900</t>
    <phoneticPr fontId="2" type="noConversion"/>
  </si>
  <si>
    <t>00929</t>
    <phoneticPr fontId="2" type="noConversion"/>
  </si>
  <si>
    <t>00679B</t>
    <phoneticPr fontId="2" type="noConversion"/>
  </si>
  <si>
    <t>2024/01</t>
    <phoneticPr fontId="2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</si>
  <si>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</si>
  <si>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</si>
  <si>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</si>
  <si>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</si>
  <si>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</si>
  <si>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</si>
  <si>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</si>
  <si>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</si>
  <si>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</si>
  <si>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</si>
  <si>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</si>
  <si>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Total</t>
    <phoneticPr fontId="2" type="noConversion"/>
  </si>
  <si>
    <t>Sum</t>
    <phoneticPr fontId="2" type="noConversion"/>
  </si>
  <si>
    <t>ETF</t>
    <phoneticPr fontId="2" type="noConversion"/>
  </si>
  <si>
    <t>2025/01</t>
    <phoneticPr fontId="2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</si>
  <si>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</si>
  <si>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</si>
  <si>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</si>
  <si>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</si>
  <si>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</si>
  <si>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</si>
  <si>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</si>
  <si>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</si>
  <si>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</si>
  <si>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</si>
  <si>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</si>
  <si>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年度</t>
    <phoneticPr fontId="2" type="noConversion"/>
  </si>
  <si>
    <t>金額</t>
    <phoneticPr fontId="2" type="noConversion"/>
  </si>
  <si>
    <t>股票</t>
    <phoneticPr fontId="2" type="noConversion"/>
  </si>
  <si>
    <t>2026/01</t>
    <phoneticPr fontId="2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</si>
  <si>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</si>
  <si>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</si>
  <si>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</si>
  <si>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</si>
  <si>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</si>
  <si>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</si>
  <si>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</si>
  <si>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</si>
  <si>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</si>
  <si>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</si>
  <si>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</si>
  <si>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2027/01</t>
    <phoneticPr fontId="2" type="noConversion"/>
  </si>
  <si>
    <t>2027/02</t>
  </si>
  <si>
    <t>2027/03</t>
  </si>
  <si>
    <t>2027/04</t>
  </si>
  <si>
    <t>2027/05</t>
  </si>
  <si>
    <t>2027/06</t>
  </si>
  <si>
    <t>2027/07</t>
  </si>
  <si>
    <t>2027/08</t>
  </si>
  <si>
    <t>2027/09</t>
  </si>
  <si>
    <t>2027/10</t>
  </si>
  <si>
    <t>2027/11</t>
  </si>
  <si>
    <t>2027/12</t>
  </si>
  <si>
    <t>2028/01</t>
    <phoneticPr fontId="2" type="noConversion"/>
  </si>
  <si>
    <t>2028/02</t>
  </si>
  <si>
    <t>2028/03</t>
  </si>
  <si>
    <t>2028/04</t>
  </si>
  <si>
    <t>2028/05</t>
  </si>
  <si>
    <t>2028/06</t>
  </si>
  <si>
    <t>2028/07</t>
  </si>
  <si>
    <t>2028/08</t>
  </si>
  <si>
    <t>2028/09</t>
  </si>
  <si>
    <t>2028/10</t>
  </si>
  <si>
    <t>2028/11</t>
  </si>
  <si>
    <t>2028/12</t>
  </si>
  <si>
    <t>2029/01</t>
    <phoneticPr fontId="2" type="noConversion"/>
  </si>
  <si>
    <t>2029/02</t>
  </si>
  <si>
    <t>2029/03</t>
  </si>
  <si>
    <t>2029/04</t>
  </si>
  <si>
    <t>2029/05</t>
  </si>
  <si>
    <t>2029/06</t>
  </si>
  <si>
    <t>2029/07</t>
  </si>
  <si>
    <t>2029/08</t>
  </si>
  <si>
    <t>2029/09</t>
  </si>
  <si>
    <t>2029/10</t>
  </si>
  <si>
    <t>2029/11</t>
  </si>
  <si>
    <t>2029/12</t>
  </si>
  <si>
    <t>2029/01</t>
    <phoneticPr fontId="2" type="noConversion"/>
  </si>
  <si>
    <t>台化</t>
    <phoneticPr fontId="2" type="noConversion"/>
  </si>
  <si>
    <t>宏泰</t>
    <phoneticPr fontId="2" type="noConversion"/>
  </si>
  <si>
    <t>中鋼</t>
    <phoneticPr fontId="2" type="noConversion"/>
  </si>
  <si>
    <t>台橡</t>
    <phoneticPr fontId="2" type="noConversion"/>
  </si>
  <si>
    <t>鑫永銓</t>
    <phoneticPr fontId="2" type="noConversion"/>
  </si>
  <si>
    <t>聯電</t>
    <phoneticPr fontId="2" type="noConversion"/>
  </si>
  <si>
    <t>廣宇</t>
    <phoneticPr fontId="2" type="noConversion"/>
  </si>
  <si>
    <t>台亞</t>
    <phoneticPr fontId="2" type="noConversion"/>
  </si>
  <si>
    <t>精技</t>
    <phoneticPr fontId="2" type="noConversion"/>
  </si>
  <si>
    <t>凱基金</t>
    <phoneticPr fontId="2" type="noConversion"/>
  </si>
  <si>
    <t>第一金</t>
    <phoneticPr fontId="2" type="noConversion"/>
  </si>
  <si>
    <t>晶技</t>
    <phoneticPr fontId="2" type="noConversion"/>
  </si>
  <si>
    <t>群創</t>
    <phoneticPr fontId="2" type="noConversion"/>
  </si>
  <si>
    <t>富采</t>
    <phoneticPr fontId="2" type="noConversion"/>
  </si>
  <si>
    <t>亞弘電</t>
    <phoneticPr fontId="2" type="noConversion"/>
  </si>
  <si>
    <t>倍微</t>
    <phoneticPr fontId="2" type="noConversion"/>
  </si>
  <si>
    <t>台虹</t>
    <phoneticPr fontId="2" type="noConversion"/>
  </si>
  <si>
    <t>大台北</t>
    <phoneticPr fontId="2" type="noConversion"/>
  </si>
  <si>
    <t>台積電</t>
    <phoneticPr fontId="2" type="noConversion"/>
  </si>
  <si>
    <t>00712</t>
    <phoneticPr fontId="2" type="noConversion"/>
  </si>
  <si>
    <t>00712</t>
    <phoneticPr fontId="2" type="noConversion"/>
  </si>
  <si>
    <t>每張均價</t>
    <phoneticPr fontId="2" type="noConversion"/>
  </si>
  <si>
    <t>0050</t>
    <phoneticPr fontId="2" type="noConversion"/>
  </si>
  <si>
    <t>0050</t>
    <phoneticPr fontId="2" type="noConversion"/>
  </si>
  <si>
    <t>00953B</t>
    <phoneticPr fontId="2" type="noConversion"/>
  </si>
  <si>
    <t>台化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</si>
</sst>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_);[Red]\(#,##0\)"/>
    <numFmt numFmtId="177" formatCode="#,##0_ "/>
    <numFmt numFmtId="178" formatCode="0_ "/>
  </numFmts>
  <fonts count="9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00FF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>
      <alignment vertical="center"/>
    </xf>
    <xf numFmtId="49" fontId="0" fillId="6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0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3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3" fontId="0" fillId="4" borderId="1" xfId="0" applyNumberFormat="1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77" fontId="1" fillId="8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3" fillId="9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49" fontId="0" fillId="10" borderId="6" xfId="0" applyNumberFormat="1" applyFill="1" applyBorder="1" applyAlignment="1">
      <alignment horizontal="center" vertical="center"/>
    </xf>
    <xf numFmtId="176" fontId="1" fillId="0" borderId="1" xfId="0" applyNumberFormat="1" applyFont="1" applyBorder="1">
      <alignment vertical="center"/>
    </xf>
    <xf numFmtId="49" fontId="4" fillId="7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176" fontId="0" fillId="11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176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C2:D25"/>
  <sheetViews>
    <sheetView workbookViewId="0">
      <selection activeCell="D3" sqref="D3"/>
    </sheetView>
  </sheetViews>
  <sheetFormatPr defaultRowHeight="17"/>
  <sheetData>
    <row r="2" spans="3:4">
      <c r="C2" s="18" t="s">
        <v>32</v>
      </c>
      <c r="D2" s="18" t="s">
        <v>33</v>
      </c>
    </row>
    <row r="3" spans="3:4">
      <c r="C3" s="17">
        <v>2024</v>
      </c>
      <c r="D3" s="14">
        <f>'2024年度'!P10 + '2024年度'!P35</f>
        <v>108601</v>
      </c>
    </row>
    <row r="4" spans="3:4">
      <c r="C4" s="17">
        <v>2025</v>
      </c>
      <c r="D4" s="14">
        <f>'2025年度 '!P11 + '2025年度 '!P36</f>
        <v>250654</v>
      </c>
    </row>
    <row r="5" spans="3:4">
      <c r="C5" s="17">
        <v>2026</v>
      </c>
      <c r="D5" s="14">
        <f>'2026年度 '!P12 + '2026年度 '!P36</f>
        <v>199237</v>
      </c>
    </row>
    <row r="6" spans="3:4">
      <c r="C6" s="17">
        <v>2027</v>
      </c>
      <c r="D6" s="14">
        <f>'2027年度 '!P10 + '2027年度 '!P29</f>
        <v>0</v>
      </c>
    </row>
    <row r="7" spans="3:4">
      <c r="C7" s="17">
        <v>2028</v>
      </c>
      <c r="D7" s="14">
        <f>'2028年度 '!P10 + '2028年度 '!P29</f>
        <v>0</v>
      </c>
    </row>
    <row r="8" spans="3:4">
      <c r="C8" s="17">
        <v>2029</v>
      </c>
      <c r="D8" s="14">
        <f>'2029年度'!P10 + '2029年度'!P29</f>
        <v>0</v>
      </c>
    </row>
    <row r="9" spans="3:4">
      <c r="C9" s="17">
        <v>2030</v>
      </c>
      <c r="D9" s="1"/>
    </row>
    <row r="10" spans="3:4">
      <c r="C10" s="17">
        <v>2031</v>
      </c>
      <c r="D10" s="1"/>
    </row>
    <row r="11" spans="3:4">
      <c r="C11" s="17">
        <v>2032</v>
      </c>
      <c r="D11" s="1"/>
    </row>
    <row r="12" spans="3:4">
      <c r="C12" s="17">
        <v>2033</v>
      </c>
      <c r="D12" s="1"/>
    </row>
    <row r="13" spans="3:4">
      <c r="C13" s="17">
        <v>2034</v>
      </c>
      <c r="D13" s="1"/>
    </row>
    <row r="14" spans="3:4">
      <c r="C14" s="17">
        <v>2035</v>
      </c>
      <c r="D14" s="1"/>
    </row>
    <row r="15" spans="3:4">
      <c r="C15" s="17">
        <v>2036</v>
      </c>
      <c r="D15" s="1"/>
    </row>
    <row r="16" spans="3:4">
      <c r="C16" s="17">
        <v>2037</v>
      </c>
      <c r="D16" s="1"/>
    </row>
    <row r="17" spans="3:4">
      <c r="C17" s="17">
        <v>2038</v>
      </c>
      <c r="D17" s="1"/>
    </row>
    <row r="18" spans="3:4">
      <c r="C18" s="17">
        <v>2039</v>
      </c>
      <c r="D18" s="1"/>
    </row>
    <row r="19" spans="3:4">
      <c r="C19" s="17">
        <v>2040</v>
      </c>
      <c r="D19" s="1"/>
    </row>
    <row r="20" spans="3:4">
      <c r="C20" s="17">
        <v>2041</v>
      </c>
      <c r="D20" s="1"/>
    </row>
    <row r="21" spans="3:4">
      <c r="C21" s="17">
        <v>2042</v>
      </c>
      <c r="D21" s="1"/>
    </row>
    <row r="22" spans="3:4">
      <c r="C22" s="17">
        <v>2043</v>
      </c>
      <c r="D22" s="1"/>
    </row>
    <row r="23" spans="3:4">
      <c r="C23" s="17">
        <v>2044</v>
      </c>
      <c r="D23" s="1"/>
    </row>
    <row r="25" spans="3:4">
      <c r="C25" s="20" t="s">
        <v>18</v>
      </c>
      <c r="D25" s="19">
        <f>SUM(D3:D23)</f>
        <v>558492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B2:P35"/>
  <sheetViews>
    <sheetView topLeftCell="B1" workbookViewId="0">
      <selection activeCell="J28" sqref="J28"/>
    </sheetView>
  </sheetViews>
  <sheetFormatPr defaultRowHeight="17"/>
  <cols>
    <col min="15" max="15" width="1.453125" customWidth="1"/>
  </cols>
  <sheetData>
    <row r="2" spans="2:16">
      <c r="B2" s="21" t="s">
        <v>19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10"/>
      <c r="P2" s="3" t="s">
        <v>18</v>
      </c>
    </row>
    <row r="3" spans="2:16">
      <c r="B3" s="4" t="s">
        <v>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2130</v>
      </c>
      <c r="K3" s="15">
        <v>0</v>
      </c>
      <c r="L3" s="15">
        <v>0</v>
      </c>
      <c r="M3" s="15">
        <v>2130</v>
      </c>
      <c r="N3" s="15">
        <v>0</v>
      </c>
      <c r="O3" s="11"/>
      <c r="P3" s="14">
        <f>SUM(C3:N3)</f>
        <v>4260</v>
      </c>
    </row>
    <row r="4" spans="2:16">
      <c r="B4" s="4" t="s">
        <v>1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3290</v>
      </c>
      <c r="L4" s="15">
        <v>0</v>
      </c>
      <c r="M4" s="15">
        <v>0</v>
      </c>
      <c r="N4" s="15">
        <v>3290</v>
      </c>
      <c r="O4" s="11"/>
      <c r="P4" s="14">
        <f t="shared" ref="P4:P8" si="0">SUM(C4:N4)</f>
        <v>6580</v>
      </c>
    </row>
    <row r="5" spans="2:16">
      <c r="B5" s="4" t="s">
        <v>2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15840</v>
      </c>
      <c r="L5" s="15">
        <v>0</v>
      </c>
      <c r="M5" s="15">
        <v>0</v>
      </c>
      <c r="N5" s="15">
        <v>2000</v>
      </c>
      <c r="O5" s="11"/>
      <c r="P5" s="14">
        <f t="shared" si="0"/>
        <v>17840</v>
      </c>
    </row>
    <row r="6" spans="2:16">
      <c r="B6" s="4" t="s">
        <v>103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4390</v>
      </c>
      <c r="M6" s="15">
        <v>0</v>
      </c>
      <c r="N6" s="15">
        <v>0</v>
      </c>
      <c r="O6" s="11"/>
      <c r="P6" s="14">
        <f t="shared" si="0"/>
        <v>4390</v>
      </c>
    </row>
    <row r="7" spans="2:16">
      <c r="B7" s="4" t="s">
        <v>3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2690</v>
      </c>
      <c r="K7" s="15">
        <v>3230</v>
      </c>
      <c r="L7" s="15">
        <v>3190</v>
      </c>
      <c r="M7" s="15">
        <v>3070</v>
      </c>
      <c r="N7" s="15">
        <v>2630</v>
      </c>
      <c r="O7" s="11"/>
      <c r="P7" s="14">
        <f t="shared" si="0"/>
        <v>14810</v>
      </c>
    </row>
    <row r="8" spans="2:16">
      <c r="B8" s="4" t="s">
        <v>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4820</v>
      </c>
      <c r="L8" s="15">
        <v>0</v>
      </c>
      <c r="M8" s="15">
        <v>0</v>
      </c>
      <c r="N8" s="15">
        <v>5770</v>
      </c>
      <c r="O8" s="11"/>
      <c r="P8" s="14">
        <f t="shared" si="0"/>
        <v>10590</v>
      </c>
    </row>
    <row r="9" spans="2:16" ht="9" customHeight="1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9"/>
    </row>
    <row r="10" spans="2:16">
      <c r="B10" s="5" t="s">
        <v>17</v>
      </c>
      <c r="C10" s="15">
        <f>SUM(C3:C8)</f>
        <v>0</v>
      </c>
      <c r="D10" s="15">
        <f t="shared" ref="D10:N10" si="1">SUM(D3:D8)</f>
        <v>0</v>
      </c>
      <c r="E10" s="15">
        <f t="shared" si="1"/>
        <v>0</v>
      </c>
      <c r="F10" s="15">
        <f t="shared" si="1"/>
        <v>0</v>
      </c>
      <c r="G10" s="15">
        <f t="shared" si="1"/>
        <v>0</v>
      </c>
      <c r="H10" s="15">
        <f t="shared" si="1"/>
        <v>0</v>
      </c>
      <c r="I10" s="15">
        <f t="shared" si="1"/>
        <v>0</v>
      </c>
      <c r="J10" s="15">
        <f t="shared" si="1"/>
        <v>4820</v>
      </c>
      <c r="K10" s="15">
        <f t="shared" si="1"/>
        <v>27180</v>
      </c>
      <c r="L10" s="15">
        <f t="shared" si="1"/>
        <v>7580</v>
      </c>
      <c r="M10" s="15">
        <f t="shared" si="1"/>
        <v>5200</v>
      </c>
      <c r="N10" s="15">
        <f t="shared" si="1"/>
        <v>13690</v>
      </c>
      <c r="O10" s="12"/>
      <c r="P10" s="16">
        <f>SUM(C10:N10)</f>
        <v>58470</v>
      </c>
    </row>
    <row r="11" spans="2:16">
      <c r="C11" s="31">
        <f>SUM(C10:E10)</f>
        <v>0</v>
      </c>
      <c r="D11" s="32"/>
      <c r="E11" s="32"/>
      <c r="F11" s="31">
        <f t="shared" ref="F11" si="2">SUM(F10:H10)</f>
        <v>0</v>
      </c>
      <c r="G11" s="32"/>
      <c r="H11" s="32"/>
      <c r="I11" s="31">
        <f t="shared" ref="I11" si="3">SUM(I10:K10)</f>
        <v>32000</v>
      </c>
      <c r="J11" s="32"/>
      <c r="K11" s="32"/>
      <c r="L11" s="31">
        <f t="shared" ref="L11" si="4">SUM(L10:N10)</f>
        <v>26470</v>
      </c>
      <c r="M11" s="32"/>
      <c r="N11" s="32"/>
    </row>
    <row r="13" spans="2:16">
      <c r="B13" s="21" t="s">
        <v>34</v>
      </c>
      <c r="C13" s="2" t="s">
        <v>5</v>
      </c>
      <c r="D13" s="2" t="s">
        <v>6</v>
      </c>
      <c r="E13" s="2" t="s">
        <v>7</v>
      </c>
      <c r="F13" s="2" t="s">
        <v>8</v>
      </c>
      <c r="G13" s="2" t="s">
        <v>9</v>
      </c>
      <c r="H13" s="2" t="s">
        <v>10</v>
      </c>
      <c r="I13" s="2" t="s">
        <v>11</v>
      </c>
      <c r="J13" s="2" t="s">
        <v>12</v>
      </c>
      <c r="K13" s="2" t="s">
        <v>13</v>
      </c>
      <c r="L13" s="2" t="s">
        <v>14</v>
      </c>
      <c r="M13" s="2" t="s">
        <v>15</v>
      </c>
      <c r="N13" s="2" t="s">
        <v>16</v>
      </c>
      <c r="O13" s="10"/>
      <c r="P13" s="3" t="s">
        <v>18</v>
      </c>
    </row>
    <row r="14" spans="2:16">
      <c r="B14" s="4" t="s">
        <v>84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1240</v>
      </c>
      <c r="K14" s="15">
        <v>0</v>
      </c>
      <c r="L14" s="15">
        <v>0</v>
      </c>
      <c r="M14" s="15">
        <v>0</v>
      </c>
      <c r="N14" s="15">
        <v>0</v>
      </c>
      <c r="O14" s="11"/>
      <c r="P14" s="14">
        <f>SUM(C14:N14)</f>
        <v>1240</v>
      </c>
    </row>
    <row r="15" spans="2:16">
      <c r="B15" s="4" t="s">
        <v>85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1"/>
      <c r="P15" s="14">
        <f t="shared" ref="P15:P33" si="5">SUM(C15:N15)</f>
        <v>0</v>
      </c>
    </row>
    <row r="16" spans="2:16">
      <c r="B16" s="4" t="s">
        <v>86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1761</v>
      </c>
      <c r="K16" s="15">
        <v>0</v>
      </c>
      <c r="L16" s="15">
        <v>0</v>
      </c>
      <c r="M16" s="15">
        <v>0</v>
      </c>
      <c r="N16" s="15">
        <v>0</v>
      </c>
      <c r="O16" s="11"/>
      <c r="P16" s="14">
        <f t="shared" si="5"/>
        <v>1761</v>
      </c>
    </row>
    <row r="17" spans="2:16">
      <c r="B17" s="4" t="s">
        <v>87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1"/>
      <c r="P17" s="14">
        <f t="shared" si="5"/>
        <v>0</v>
      </c>
    </row>
    <row r="18" spans="2:16">
      <c r="B18" s="4" t="s">
        <v>88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1"/>
      <c r="P18" s="14">
        <f t="shared" si="5"/>
        <v>0</v>
      </c>
    </row>
    <row r="19" spans="2:16">
      <c r="B19" s="4" t="s">
        <v>89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1"/>
      <c r="P19" s="14">
        <f t="shared" si="5"/>
        <v>0</v>
      </c>
    </row>
    <row r="20" spans="2:16">
      <c r="B20" s="4" t="s">
        <v>90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7779</v>
      </c>
      <c r="L20" s="15">
        <v>0</v>
      </c>
      <c r="M20" s="15">
        <v>0</v>
      </c>
      <c r="N20" s="15">
        <v>0</v>
      </c>
      <c r="O20" s="11"/>
      <c r="P20" s="14">
        <f t="shared" si="5"/>
        <v>7779</v>
      </c>
    </row>
    <row r="21" spans="2:16">
      <c r="B21" s="4" t="s">
        <v>91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1490</v>
      </c>
      <c r="K21" s="15">
        <v>0</v>
      </c>
      <c r="L21" s="15">
        <v>0</v>
      </c>
      <c r="M21" s="15">
        <v>0</v>
      </c>
      <c r="N21" s="15">
        <v>0</v>
      </c>
      <c r="O21" s="11"/>
      <c r="P21" s="14">
        <f t="shared" si="5"/>
        <v>1490</v>
      </c>
    </row>
    <row r="22" spans="2:16">
      <c r="B22" s="4" t="s">
        <v>92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10990</v>
      </c>
      <c r="K22" s="15">
        <v>0</v>
      </c>
      <c r="L22" s="15">
        <v>0</v>
      </c>
      <c r="M22" s="15">
        <v>0</v>
      </c>
      <c r="N22" s="15">
        <v>0</v>
      </c>
      <c r="O22" s="11"/>
      <c r="P22" s="14">
        <f t="shared" si="5"/>
        <v>10990</v>
      </c>
    </row>
    <row r="23" spans="2:16">
      <c r="B23" s="4" t="s">
        <v>93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1"/>
      <c r="P23" s="14">
        <f t="shared" si="5"/>
        <v>0</v>
      </c>
    </row>
    <row r="24" spans="2:16">
      <c r="B24" s="4" t="s">
        <v>94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13943</v>
      </c>
      <c r="K24" s="15">
        <v>0</v>
      </c>
      <c r="L24" s="15">
        <v>0</v>
      </c>
      <c r="M24" s="15">
        <v>0</v>
      </c>
      <c r="N24" s="15">
        <v>0</v>
      </c>
      <c r="O24" s="11"/>
      <c r="P24" s="14">
        <f t="shared" si="5"/>
        <v>13943</v>
      </c>
    </row>
    <row r="25" spans="2:16">
      <c r="B25" s="4" t="s">
        <v>95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1"/>
      <c r="P25" s="14">
        <f t="shared" si="5"/>
        <v>0</v>
      </c>
    </row>
    <row r="26" spans="2:16">
      <c r="B26" s="4" t="s">
        <v>96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1"/>
      <c r="P26" s="14">
        <f t="shared" si="5"/>
        <v>0</v>
      </c>
    </row>
    <row r="27" spans="2:16">
      <c r="B27" s="4" t="s">
        <v>97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1"/>
      <c r="P27" s="14">
        <f t="shared" si="5"/>
        <v>0</v>
      </c>
    </row>
    <row r="28" spans="2:16">
      <c r="B28" s="4" t="s">
        <v>98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7790</v>
      </c>
      <c r="K28" s="15">
        <v>0</v>
      </c>
      <c r="L28" s="15">
        <v>0</v>
      </c>
      <c r="M28" s="15">
        <v>0</v>
      </c>
      <c r="N28" s="15">
        <v>0</v>
      </c>
      <c r="O28" s="11"/>
      <c r="P28" s="14">
        <f t="shared" si="5"/>
        <v>7790</v>
      </c>
    </row>
    <row r="29" spans="2:16">
      <c r="B29" s="4" t="s">
        <v>99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1"/>
      <c r="P29" s="14">
        <f t="shared" si="5"/>
        <v>0</v>
      </c>
    </row>
    <row r="30" spans="2:16">
      <c r="B30" s="4" t="s">
        <v>100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2748</v>
      </c>
      <c r="K30" s="15">
        <v>0</v>
      </c>
      <c r="L30" s="15">
        <v>0</v>
      </c>
      <c r="M30" s="15">
        <v>0</v>
      </c>
      <c r="N30" s="15">
        <v>0</v>
      </c>
      <c r="O30" s="11"/>
      <c r="P30" s="14">
        <f t="shared" si="5"/>
        <v>2748</v>
      </c>
    </row>
    <row r="31" spans="2:16">
      <c r="B31" s="4" t="s">
        <v>101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2390</v>
      </c>
      <c r="K31" s="15">
        <v>0</v>
      </c>
      <c r="L31" s="15">
        <v>0</v>
      </c>
      <c r="M31" s="15">
        <v>0</v>
      </c>
      <c r="N31" s="15">
        <v>0</v>
      </c>
      <c r="O31" s="11"/>
      <c r="P31" s="14">
        <f t="shared" si="5"/>
        <v>2390</v>
      </c>
    </row>
    <row r="32" spans="2:16">
      <c r="B32" s="4"/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1"/>
      <c r="P32" s="14">
        <f t="shared" si="5"/>
        <v>0</v>
      </c>
    </row>
    <row r="33" spans="2:16">
      <c r="B33" s="4"/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1"/>
      <c r="P33" s="14">
        <f t="shared" si="5"/>
        <v>0</v>
      </c>
    </row>
    <row r="34" spans="2:16"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/>
      <c r="P34" s="9"/>
    </row>
    <row r="35" spans="2:16">
      <c r="B35" s="5" t="s">
        <v>17</v>
      </c>
      <c r="C35" s="15">
        <f>SUM(C14:C33)</f>
        <v>0</v>
      </c>
      <c r="D35" s="15">
        <f t="shared" ref="D35:N35" si="6">SUM(D14:D33)</f>
        <v>0</v>
      </c>
      <c r="E35" s="15">
        <f t="shared" si="6"/>
        <v>0</v>
      </c>
      <c r="F35" s="15">
        <f t="shared" si="6"/>
        <v>0</v>
      </c>
      <c r="G35" s="15">
        <f t="shared" si="6"/>
        <v>0</v>
      </c>
      <c r="H35" s="15">
        <f t="shared" si="6"/>
        <v>0</v>
      </c>
      <c r="I35" s="15">
        <f t="shared" si="6"/>
        <v>0</v>
      </c>
      <c r="J35" s="15">
        <f t="shared" si="6"/>
        <v>42352</v>
      </c>
      <c r="K35" s="15">
        <f t="shared" si="6"/>
        <v>7779</v>
      </c>
      <c r="L35" s="15">
        <f t="shared" si="6"/>
        <v>0</v>
      </c>
      <c r="M35" s="15">
        <f t="shared" si="6"/>
        <v>0</v>
      </c>
      <c r="N35" s="15">
        <f t="shared" si="6"/>
        <v>0</v>
      </c>
      <c r="O35" s="12"/>
      <c r="P35" s="16">
        <f>SUM(C35:N35)</f>
        <v>50131</v>
      </c>
    </row>
  </sheetData>
  <mergeCells count="4">
    <mergeCell ref="C11:E11"/>
    <mergeCell ref="F11:H11"/>
    <mergeCell ref="I11:K11"/>
    <mergeCell ref="L11:N1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"/>
  <dimension ref="A2:R36"/>
  <sheetViews>
    <sheetView tabSelected="1" workbookViewId="0">
      <selection activeCell="B15" sqref="B15"/>
    </sheetView>
  </sheetViews>
  <sheetFormatPr defaultRowHeight="17"/>
  <cols>
    <col min="1" max="1" width="4.90625" customWidth="1"/>
    <col min="15" max="15" width="1.453125" customWidth="1"/>
  </cols>
  <sheetData>
    <row r="2" spans="1:18">
      <c r="B2" s="13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10"/>
      <c r="P2" s="3" t="s">
        <v>18</v>
      </c>
      <c r="Q2" s="24" t="s">
        <v>105</v>
      </c>
    </row>
    <row r="3" spans="1:18">
      <c r="B3" s="4" t="s">
        <v>0</v>
      </c>
      <c r="C3" s="15">
        <v>0</v>
      </c>
      <c r="D3" s="15">
        <v>2130</v>
      </c>
      <c r="E3" s="15">
        <v>0</v>
      </c>
      <c r="F3" s="15">
        <v>0</v>
      </c>
      <c r="G3" s="15">
        <v>2130</v>
      </c>
      <c r="H3" s="15">
        <v>0</v>
      </c>
      <c r="I3" s="15">
        <v>0</v>
      </c>
      <c r="J3" s="15">
        <v>1722</v>
      </c>
      <c r="K3" s="15">
        <v>0</v>
      </c>
      <c r="L3" s="15">
        <v>0</v>
      </c>
      <c r="M3" s="15">
        <v>1722</v>
      </c>
      <c r="N3" s="15">
        <v>0</v>
      </c>
      <c r="O3" s="11"/>
      <c r="P3" s="14">
        <f>SUM(C3:N3)</f>
        <v>7704</v>
      </c>
      <c r="Q3" s="23">
        <f>P3/2</f>
        <v>3852</v>
      </c>
      <c r="R3">
        <v>2</v>
      </c>
    </row>
    <row r="4" spans="1:18">
      <c r="B4" s="4" t="s">
        <v>106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1"/>
      <c r="P4" s="14"/>
      <c r="Q4" s="23"/>
      <c r="R4">
        <v>4</v>
      </c>
    </row>
    <row r="5" spans="1:18">
      <c r="B5" s="4" t="s">
        <v>1</v>
      </c>
      <c r="C5" s="15">
        <v>0</v>
      </c>
      <c r="D5" s="15">
        <v>0</v>
      </c>
      <c r="E5" s="15">
        <v>2990</v>
      </c>
      <c r="F5" s="15">
        <v>0</v>
      </c>
      <c r="G5" s="15">
        <v>0</v>
      </c>
      <c r="H5" s="15">
        <v>3280</v>
      </c>
      <c r="I5" s="15">
        <v>0</v>
      </c>
      <c r="J5" s="15">
        <v>0</v>
      </c>
      <c r="K5" s="15">
        <v>2790</v>
      </c>
      <c r="L5" s="15">
        <v>0</v>
      </c>
      <c r="M5" s="15">
        <v>0</v>
      </c>
      <c r="N5" s="15">
        <v>7990</v>
      </c>
      <c r="O5" s="11"/>
      <c r="P5" s="14">
        <f t="shared" ref="P5:P9" si="0">SUM(C5:N5)</f>
        <v>17050</v>
      </c>
      <c r="Q5" s="23">
        <f>P5/7</f>
        <v>2435.7142857142858</v>
      </c>
      <c r="R5">
        <v>24</v>
      </c>
    </row>
    <row r="6" spans="1:18">
      <c r="B6" s="4" t="s">
        <v>2</v>
      </c>
      <c r="C6" s="15">
        <v>2000</v>
      </c>
      <c r="D6" s="15">
        <v>2000</v>
      </c>
      <c r="E6" s="15">
        <v>2000</v>
      </c>
      <c r="F6" s="15">
        <v>2000</v>
      </c>
      <c r="G6" s="15">
        <v>2000</v>
      </c>
      <c r="H6" s="15">
        <v>2000</v>
      </c>
      <c r="I6" s="15">
        <v>2000</v>
      </c>
      <c r="J6" s="15">
        <v>2000</v>
      </c>
      <c r="K6" s="15">
        <v>2000</v>
      </c>
      <c r="L6" s="15">
        <v>2000</v>
      </c>
      <c r="M6" s="15">
        <v>2000</v>
      </c>
      <c r="N6" s="15">
        <v>2000</v>
      </c>
      <c r="O6" s="11"/>
      <c r="P6" s="14">
        <f t="shared" si="0"/>
        <v>24000</v>
      </c>
      <c r="Q6" s="23">
        <f>P6/20</f>
        <v>1200</v>
      </c>
      <c r="R6">
        <v>20</v>
      </c>
    </row>
    <row r="7" spans="1:18">
      <c r="B7" s="4" t="s">
        <v>103</v>
      </c>
      <c r="C7" s="15">
        <v>4060</v>
      </c>
      <c r="D7" s="15">
        <v>0</v>
      </c>
      <c r="E7" s="15">
        <v>0</v>
      </c>
      <c r="F7" s="15">
        <v>4199</v>
      </c>
      <c r="G7" s="15">
        <v>0</v>
      </c>
      <c r="H7" s="15">
        <v>0</v>
      </c>
      <c r="I7" s="15">
        <v>5280</v>
      </c>
      <c r="J7" s="15">
        <v>0</v>
      </c>
      <c r="K7" s="15">
        <v>0</v>
      </c>
      <c r="L7" s="15">
        <v>5690</v>
      </c>
      <c r="M7" s="15">
        <v>0</v>
      </c>
      <c r="N7" s="15">
        <v>0</v>
      </c>
      <c r="O7" s="11"/>
      <c r="P7" s="14">
        <f t="shared" si="0"/>
        <v>19229</v>
      </c>
      <c r="Q7" s="23">
        <f>P7/23</f>
        <v>836.04347826086962</v>
      </c>
      <c r="R7">
        <v>60</v>
      </c>
    </row>
    <row r="8" spans="1:18">
      <c r="B8" s="4" t="s">
        <v>3</v>
      </c>
      <c r="C8" s="15">
        <v>1240</v>
      </c>
      <c r="D8" s="15">
        <v>1240</v>
      </c>
      <c r="E8" s="15">
        <v>1240</v>
      </c>
      <c r="F8" s="15">
        <v>1240</v>
      </c>
      <c r="G8" s="15">
        <v>1240</v>
      </c>
      <c r="H8" s="15">
        <v>1740</v>
      </c>
      <c r="I8" s="15">
        <v>1740</v>
      </c>
      <c r="J8" s="15">
        <v>1740</v>
      </c>
      <c r="K8" s="15">
        <v>1990</v>
      </c>
      <c r="L8" s="15">
        <v>1990</v>
      </c>
      <c r="M8" s="15">
        <v>1990</v>
      </c>
      <c r="N8" s="15">
        <v>2240</v>
      </c>
      <c r="O8" s="11"/>
      <c r="P8" s="14">
        <f t="shared" si="0"/>
        <v>19630</v>
      </c>
      <c r="Q8" s="23">
        <f>P8/25</f>
        <v>785.2</v>
      </c>
      <c r="R8">
        <v>25</v>
      </c>
    </row>
    <row r="9" spans="1:18">
      <c r="B9" s="4" t="s">
        <v>4</v>
      </c>
      <c r="C9" s="15">
        <v>0</v>
      </c>
      <c r="D9" s="15">
        <v>0</v>
      </c>
      <c r="E9" s="15">
        <v>5390</v>
      </c>
      <c r="F9" s="15">
        <v>0</v>
      </c>
      <c r="G9" s="15">
        <v>0</v>
      </c>
      <c r="H9" s="15">
        <v>5750</v>
      </c>
      <c r="I9" s="15">
        <v>0</v>
      </c>
      <c r="J9" s="15">
        <v>0</v>
      </c>
      <c r="K9" s="15">
        <v>5310</v>
      </c>
      <c r="L9" s="15">
        <v>0</v>
      </c>
      <c r="M9" s="15">
        <v>0</v>
      </c>
      <c r="N9" s="15">
        <v>5310</v>
      </c>
      <c r="O9" s="11"/>
      <c r="P9" s="14">
        <f t="shared" si="0"/>
        <v>21760</v>
      </c>
      <c r="Q9" s="23">
        <f>P9/18</f>
        <v>1208.8888888888889</v>
      </c>
      <c r="R9">
        <v>19</v>
      </c>
    </row>
    <row r="10" spans="1:18" ht="9" customHeight="1"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9"/>
    </row>
    <row r="11" spans="1:18">
      <c r="B11" s="5" t="s">
        <v>17</v>
      </c>
      <c r="C11" s="15">
        <f>SUM(C3:C9)</f>
        <v>7300</v>
      </c>
      <c r="D11" s="15">
        <f t="shared" ref="D11:N11" si="1">SUM(D3:D9)</f>
        <v>5370</v>
      </c>
      <c r="E11" s="15">
        <f t="shared" si="1"/>
        <v>11620</v>
      </c>
      <c r="F11" s="15">
        <f t="shared" si="1"/>
        <v>7439</v>
      </c>
      <c r="G11" s="15">
        <f t="shared" si="1"/>
        <v>5370</v>
      </c>
      <c r="H11" s="15">
        <f t="shared" si="1"/>
        <v>12770</v>
      </c>
      <c r="I11" s="15">
        <f t="shared" si="1"/>
        <v>9020</v>
      </c>
      <c r="J11" s="15">
        <f t="shared" si="1"/>
        <v>5462</v>
      </c>
      <c r="K11" s="15">
        <f t="shared" si="1"/>
        <v>12090</v>
      </c>
      <c r="L11" s="15">
        <f t="shared" si="1"/>
        <v>9680</v>
      </c>
      <c r="M11" s="15">
        <f t="shared" si="1"/>
        <v>5712</v>
      </c>
      <c r="N11" s="15">
        <f t="shared" si="1"/>
        <v>17540</v>
      </c>
      <c r="O11" s="12"/>
      <c r="P11" s="16">
        <f>SUM(C11:N11)</f>
        <v>109373</v>
      </c>
    </row>
    <row r="12" spans="1:18">
      <c r="C12" s="31">
        <f>SUM(C11:E11)</f>
        <v>24290</v>
      </c>
      <c r="D12" s="32"/>
      <c r="E12" s="32"/>
      <c r="F12" s="31">
        <f t="shared" ref="F12" si="2">SUM(F11:H11)</f>
        <v>25579</v>
      </c>
      <c r="G12" s="32"/>
      <c r="H12" s="32"/>
      <c r="I12" s="31">
        <f t="shared" ref="I12" si="3">SUM(I11:K11)</f>
        <v>26572</v>
      </c>
      <c r="J12" s="32"/>
      <c r="K12" s="32"/>
      <c r="L12" s="31">
        <f t="shared" ref="L12" si="4">SUM(L11:N11)</f>
        <v>32932</v>
      </c>
      <c r="M12" s="32"/>
      <c r="N12" s="32"/>
    </row>
    <row r="14" spans="1:18">
      <c r="B14" s="21" t="s">
        <v>34</v>
      </c>
      <c r="C14" s="2" t="s">
        <v>20</v>
      </c>
      <c r="D14" s="2" t="s">
        <v>21</v>
      </c>
      <c r="E14" s="2" t="s">
        <v>22</v>
      </c>
      <c r="F14" s="2" t="s">
        <v>23</v>
      </c>
      <c r="G14" s="2" t="s">
        <v>24</v>
      </c>
      <c r="H14" s="2" t="s">
        <v>25</v>
      </c>
      <c r="I14" s="2" t="s">
        <v>26</v>
      </c>
      <c r="J14" s="2" t="s">
        <v>27</v>
      </c>
      <c r="K14" s="2" t="s">
        <v>28</v>
      </c>
      <c r="L14" s="2" t="s">
        <v>29</v>
      </c>
      <c r="M14" s="2" t="s">
        <v>30</v>
      </c>
      <c r="N14" s="2" t="s">
        <v>31</v>
      </c>
      <c r="O14" s="10"/>
      <c r="P14" s="3" t="s">
        <v>18</v>
      </c>
    </row>
    <row r="15" spans="1:18">
      <c r="A15">
        <v>1</v>
      </c>
      <c r="B15" s="4" t="s">
        <v>84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490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1"/>
      <c r="P15" s="14">
        <f>SUM(C15:N15)</f>
        <v>490</v>
      </c>
    </row>
    <row r="16" spans="1:18">
      <c r="A16">
        <v>2</v>
      </c>
      <c r="B16" s="26" t="s">
        <v>85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10490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1"/>
      <c r="P16" s="14">
        <f t="shared" ref="P16:P34" si="5">SUM(C16:N16)</f>
        <v>10490</v>
      </c>
    </row>
    <row r="17" spans="1:16">
      <c r="A17">
        <v>3</v>
      </c>
      <c r="B17" s="4" t="s">
        <v>86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1660</v>
      </c>
      <c r="K17" s="15">
        <v>0</v>
      </c>
      <c r="L17" s="15">
        <v>0</v>
      </c>
      <c r="M17" s="15">
        <v>0</v>
      </c>
      <c r="N17" s="15">
        <v>0</v>
      </c>
      <c r="O17" s="11"/>
      <c r="P17" s="14">
        <f t="shared" si="5"/>
        <v>1660</v>
      </c>
    </row>
    <row r="18" spans="1:16">
      <c r="A18">
        <v>4</v>
      </c>
      <c r="B18" s="27" t="s">
        <v>87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1880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1"/>
      <c r="P18" s="14">
        <f t="shared" si="5"/>
        <v>1880</v>
      </c>
    </row>
    <row r="19" spans="1:16">
      <c r="A19">
        <v>5</v>
      </c>
      <c r="B19" s="4" t="s">
        <v>88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5490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1"/>
      <c r="P19" s="14">
        <f t="shared" si="5"/>
        <v>5490</v>
      </c>
    </row>
    <row r="20" spans="1:16">
      <c r="A20">
        <v>6</v>
      </c>
      <c r="B20" s="4" t="s">
        <v>89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6972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1"/>
      <c r="P20" s="14">
        <f t="shared" si="5"/>
        <v>6972</v>
      </c>
    </row>
    <row r="21" spans="1:16">
      <c r="A21">
        <v>7</v>
      </c>
      <c r="B21" s="26" t="s">
        <v>90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6581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1"/>
      <c r="P21" s="14">
        <f t="shared" si="5"/>
        <v>6581</v>
      </c>
    </row>
    <row r="22" spans="1:16">
      <c r="A22">
        <v>8</v>
      </c>
      <c r="B22" s="4" t="s">
        <v>91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1"/>
      <c r="P22" s="14">
        <f t="shared" si="5"/>
        <v>0</v>
      </c>
    </row>
    <row r="23" spans="1:16">
      <c r="A23">
        <v>9</v>
      </c>
      <c r="B23" s="22" t="s">
        <v>92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25">
        <v>12490</v>
      </c>
      <c r="K23" s="15">
        <v>0</v>
      </c>
      <c r="L23" s="15">
        <v>0</v>
      </c>
      <c r="M23" s="15">
        <v>0</v>
      </c>
      <c r="N23" s="15">
        <v>0</v>
      </c>
      <c r="O23" s="11"/>
      <c r="P23" s="14">
        <f t="shared" si="5"/>
        <v>12490</v>
      </c>
    </row>
    <row r="24" spans="1:16">
      <c r="A24">
        <v>10</v>
      </c>
      <c r="B24" s="26" t="s">
        <v>93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4702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1"/>
      <c r="P24" s="14">
        <f t="shared" si="5"/>
        <v>4702</v>
      </c>
    </row>
    <row r="25" spans="1:16">
      <c r="A25">
        <v>11</v>
      </c>
      <c r="B25" s="22" t="s">
        <v>94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25">
        <v>15624</v>
      </c>
      <c r="K25" s="15">
        <v>0</v>
      </c>
      <c r="L25" s="15">
        <v>0</v>
      </c>
      <c r="M25" s="15">
        <v>0</v>
      </c>
      <c r="N25" s="15">
        <v>0</v>
      </c>
      <c r="O25" s="11"/>
      <c r="P25" s="14">
        <f t="shared" si="5"/>
        <v>15624</v>
      </c>
    </row>
    <row r="26" spans="1:16">
      <c r="A26">
        <v>12</v>
      </c>
      <c r="B26" s="4" t="s">
        <v>95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5190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1"/>
      <c r="P26" s="14">
        <f t="shared" si="5"/>
        <v>5190</v>
      </c>
    </row>
    <row r="27" spans="1:16">
      <c r="A27">
        <v>13</v>
      </c>
      <c r="B27" s="4" t="s">
        <v>96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42712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1"/>
      <c r="P27" s="14">
        <f t="shared" si="5"/>
        <v>42712</v>
      </c>
    </row>
    <row r="28" spans="1:16">
      <c r="A28">
        <v>14</v>
      </c>
      <c r="B28" s="4" t="s">
        <v>97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1790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1"/>
      <c r="P28" s="14">
        <f t="shared" si="5"/>
        <v>1790</v>
      </c>
    </row>
    <row r="29" spans="1:16">
      <c r="A29">
        <v>15</v>
      </c>
      <c r="B29" s="22" t="s">
        <v>98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25">
        <v>7990</v>
      </c>
      <c r="K29" s="15">
        <v>0</v>
      </c>
      <c r="L29" s="15">
        <v>0</v>
      </c>
      <c r="M29" s="15">
        <v>0</v>
      </c>
      <c r="N29" s="15">
        <v>0</v>
      </c>
      <c r="O29" s="11"/>
      <c r="P29" s="14">
        <f t="shared" si="5"/>
        <v>7990</v>
      </c>
    </row>
    <row r="30" spans="1:16">
      <c r="A30">
        <v>16</v>
      </c>
      <c r="B30" s="26" t="s">
        <v>99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4860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1"/>
      <c r="P30" s="14">
        <f t="shared" si="5"/>
        <v>4860</v>
      </c>
    </row>
    <row r="31" spans="1:16">
      <c r="A31">
        <v>17</v>
      </c>
      <c r="B31" s="4" t="s">
        <v>100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4980</v>
      </c>
      <c r="K31" s="28">
        <v>0</v>
      </c>
      <c r="L31" s="28">
        <v>0</v>
      </c>
      <c r="M31" s="28">
        <v>0</v>
      </c>
      <c r="N31" s="28">
        <v>0</v>
      </c>
      <c r="O31" s="11"/>
      <c r="P31" s="14">
        <f t="shared" si="5"/>
        <v>4980</v>
      </c>
    </row>
    <row r="32" spans="1:16">
      <c r="A32">
        <v>18</v>
      </c>
      <c r="B32" s="22" t="s">
        <v>101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3590</v>
      </c>
      <c r="K32" s="15">
        <v>0</v>
      </c>
      <c r="L32" s="15">
        <v>0</v>
      </c>
      <c r="M32" s="15">
        <v>0</v>
      </c>
      <c r="N32" s="15">
        <v>0</v>
      </c>
      <c r="O32" s="11"/>
      <c r="P32" s="14">
        <f t="shared" si="5"/>
        <v>3590</v>
      </c>
    </row>
    <row r="33" spans="1:16">
      <c r="A33">
        <v>19</v>
      </c>
      <c r="B33" s="4" t="s">
        <v>102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1795</v>
      </c>
      <c r="J33" s="15">
        <v>0</v>
      </c>
      <c r="K33" s="15">
        <v>0</v>
      </c>
      <c r="L33" s="15">
        <v>1995</v>
      </c>
      <c r="M33" s="15">
        <v>0</v>
      </c>
      <c r="N33" s="15">
        <v>0</v>
      </c>
      <c r="O33" s="11"/>
      <c r="P33" s="14">
        <f t="shared" si="5"/>
        <v>3790</v>
      </c>
    </row>
    <row r="34" spans="1:16">
      <c r="B34" s="4"/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1"/>
      <c r="P34" s="14">
        <f t="shared" si="5"/>
        <v>0</v>
      </c>
    </row>
    <row r="35" spans="1:16"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/>
      <c r="P35" s="9"/>
    </row>
    <row r="36" spans="1:16">
      <c r="B36" s="5" t="s">
        <v>17</v>
      </c>
      <c r="C36" s="15">
        <f>SUM(C15:C34)</f>
        <v>0</v>
      </c>
      <c r="D36" s="15">
        <f t="shared" ref="D36:N36" si="6">SUM(D15:D34)</f>
        <v>0</v>
      </c>
      <c r="E36" s="15">
        <f t="shared" si="6"/>
        <v>0</v>
      </c>
      <c r="F36" s="15">
        <f t="shared" si="6"/>
        <v>0</v>
      </c>
      <c r="G36" s="15">
        <f t="shared" si="6"/>
        <v>0</v>
      </c>
      <c r="H36" s="15">
        <f t="shared" si="6"/>
        <v>42712</v>
      </c>
      <c r="I36" s="15">
        <f t="shared" si="6"/>
        <v>50240</v>
      </c>
      <c r="J36" s="15">
        <f t="shared" si="6"/>
        <v>46334</v>
      </c>
      <c r="K36" s="15">
        <f t="shared" si="6"/>
        <v>0</v>
      </c>
      <c r="L36" s="15">
        <f t="shared" si="6"/>
        <v>1995</v>
      </c>
      <c r="M36" s="15">
        <f t="shared" si="6"/>
        <v>0</v>
      </c>
      <c r="N36" s="15">
        <f t="shared" si="6"/>
        <v>0</v>
      </c>
      <c r="O36" s="12"/>
      <c r="P36" s="16">
        <f>SUM(C36:N36)</f>
        <v>141281</v>
      </c>
    </row>
  </sheetData>
  <mergeCells count="4">
    <mergeCell ref="C12:E12"/>
    <mergeCell ref="F12:H12"/>
    <mergeCell ref="I12:K12"/>
    <mergeCell ref="L12:N12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4"/>
  <dimension ref="B2:Q49"/>
  <sheetViews>
    <sheetView workbookViewId="0">
      <selection activeCell="J25" sqref="J25"/>
    </sheetView>
  </sheetViews>
  <sheetFormatPr defaultRowHeight="17"/>
  <cols>
    <col min="1" max="1" width="5.81640625" customWidth="1"/>
    <col min="15" max="15" width="1.453125" customWidth="1"/>
  </cols>
  <sheetData>
    <row r="2" spans="2:17">
      <c r="B2" s="21" t="s">
        <v>19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10"/>
      <c r="P2" s="3" t="s">
        <v>18</v>
      </c>
    </row>
    <row r="3" spans="2:17">
      <c r="B3" s="4" t="s">
        <v>0</v>
      </c>
      <c r="C3" s="15">
        <v>0</v>
      </c>
      <c r="D3" s="15">
        <v>1722</v>
      </c>
      <c r="E3" s="15">
        <v>0</v>
      </c>
      <c r="F3" s="15">
        <v>0</v>
      </c>
      <c r="G3" s="15">
        <v>1990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1"/>
      <c r="P3" s="14">
        <f>SUM(C3:N3)</f>
        <v>3712</v>
      </c>
    </row>
    <row r="4" spans="2:17">
      <c r="B4" s="4" t="s">
        <v>107</v>
      </c>
      <c r="C4" s="15">
        <v>0</v>
      </c>
      <c r="D4" s="15">
        <v>3900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1"/>
      <c r="P4" s="14">
        <f>SUM(C4:N4)</f>
        <v>3900</v>
      </c>
    </row>
    <row r="5" spans="2:17">
      <c r="B5" s="4" t="s">
        <v>1</v>
      </c>
      <c r="C5" s="15">
        <v>0</v>
      </c>
      <c r="D5" s="15">
        <v>0</v>
      </c>
      <c r="E5" s="15">
        <v>10070</v>
      </c>
      <c r="F5" s="15">
        <v>0</v>
      </c>
      <c r="G5" s="15">
        <v>0</v>
      </c>
      <c r="H5" s="15">
        <v>19790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1"/>
      <c r="P5" s="14">
        <f t="shared" ref="P5:P10" si="0">SUM(C5:N5)</f>
        <v>29860</v>
      </c>
    </row>
    <row r="6" spans="2:17">
      <c r="B6" s="4" t="s">
        <v>2</v>
      </c>
      <c r="C6" s="15">
        <v>1500</v>
      </c>
      <c r="D6" s="15">
        <v>1500</v>
      </c>
      <c r="E6" s="15">
        <v>1500</v>
      </c>
      <c r="F6" s="15">
        <v>1500</v>
      </c>
      <c r="G6" s="15">
        <v>1500</v>
      </c>
      <c r="H6" s="15">
        <v>1500</v>
      </c>
      <c r="I6" s="15">
        <v>1500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1"/>
      <c r="P6" s="14">
        <f t="shared" si="0"/>
        <v>10500</v>
      </c>
    </row>
    <row r="7" spans="2:17">
      <c r="B7" s="4" t="s">
        <v>108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1"/>
      <c r="P7" s="14"/>
    </row>
    <row r="8" spans="2:17">
      <c r="B8" s="4" t="s">
        <v>103</v>
      </c>
      <c r="C8" s="15">
        <v>11390</v>
      </c>
      <c r="D8" s="15">
        <v>0</v>
      </c>
      <c r="E8" s="15">
        <v>0</v>
      </c>
      <c r="F8" s="15">
        <v>17090</v>
      </c>
      <c r="G8" s="15">
        <v>0</v>
      </c>
      <c r="H8" s="15">
        <v>0</v>
      </c>
      <c r="I8" s="15">
        <v>27015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1"/>
      <c r="P8" s="14">
        <f t="shared" si="0"/>
        <v>55495</v>
      </c>
      <c r="Q8">
        <f>F8/105</f>
        <v>162.76190476190476</v>
      </c>
    </row>
    <row r="9" spans="2:17">
      <c r="B9" s="4" t="s">
        <v>3</v>
      </c>
      <c r="C9" s="15">
        <v>2240</v>
      </c>
      <c r="D9" s="15">
        <v>2490</v>
      </c>
      <c r="E9" s="15">
        <v>2490</v>
      </c>
      <c r="F9" s="15">
        <v>2740</v>
      </c>
      <c r="G9" s="15">
        <v>3240</v>
      </c>
      <c r="H9" s="15">
        <v>3240</v>
      </c>
      <c r="I9" s="15">
        <v>6490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1"/>
      <c r="P9" s="14">
        <f t="shared" si="0"/>
        <v>22930</v>
      </c>
    </row>
    <row r="10" spans="2:17">
      <c r="B10" s="4" t="s">
        <v>4</v>
      </c>
      <c r="C10" s="15">
        <v>0</v>
      </c>
      <c r="D10" s="15">
        <v>0</v>
      </c>
      <c r="E10" s="15">
        <v>5310</v>
      </c>
      <c r="F10" s="15">
        <v>0</v>
      </c>
      <c r="G10" s="15">
        <v>0</v>
      </c>
      <c r="H10" s="15">
        <v>5310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1"/>
      <c r="P10" s="14">
        <f t="shared" si="0"/>
        <v>10620</v>
      </c>
      <c r="Q10">
        <f>P10/19</f>
        <v>558.9473684210526</v>
      </c>
    </row>
    <row r="11" spans="2:17" ht="9" customHeight="1"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  <c r="P11" s="9"/>
    </row>
    <row r="12" spans="2:17">
      <c r="B12" s="5" t="s">
        <v>17</v>
      </c>
      <c r="C12" s="15">
        <f>SUM(C3:C10)</f>
        <v>15130</v>
      </c>
      <c r="D12" s="15">
        <f t="shared" ref="D12:N12" si="1">SUM(D3:D10)</f>
        <v>9612</v>
      </c>
      <c r="E12" s="15">
        <f t="shared" si="1"/>
        <v>19370</v>
      </c>
      <c r="F12" s="15">
        <f t="shared" si="1"/>
        <v>21330</v>
      </c>
      <c r="G12" s="15">
        <f t="shared" si="1"/>
        <v>6730</v>
      </c>
      <c r="H12" s="15">
        <f t="shared" si="1"/>
        <v>29840</v>
      </c>
      <c r="I12" s="15">
        <f t="shared" si="1"/>
        <v>35005</v>
      </c>
      <c r="J12" s="15">
        <f t="shared" si="1"/>
        <v>0</v>
      </c>
      <c r="K12" s="15">
        <f t="shared" si="1"/>
        <v>0</v>
      </c>
      <c r="L12" s="15">
        <f t="shared" si="1"/>
        <v>0</v>
      </c>
      <c r="M12" s="15">
        <f t="shared" si="1"/>
        <v>0</v>
      </c>
      <c r="N12" s="15">
        <f t="shared" si="1"/>
        <v>0</v>
      </c>
      <c r="O12" s="12"/>
      <c r="P12" s="16">
        <f>SUM(C12:N12)</f>
        <v>137017</v>
      </c>
    </row>
    <row r="13" spans="2:17">
      <c r="C13" s="31">
        <f>SUM(C12:E12)</f>
        <v>44112</v>
      </c>
      <c r="D13" s="32"/>
      <c r="E13" s="32"/>
      <c r="F13" s="31">
        <f t="shared" ref="F13" si="2">SUM(F12:H12)</f>
        <v>57900</v>
      </c>
      <c r="G13" s="32"/>
      <c r="H13" s="32"/>
      <c r="I13" s="31">
        <f t="shared" ref="I13" si="3">SUM(I12:K12)</f>
        <v>35005</v>
      </c>
      <c r="J13" s="32"/>
      <c r="K13" s="32"/>
      <c r="L13" s="31">
        <f t="shared" ref="L13" si="4">SUM(L12:N12)</f>
        <v>0</v>
      </c>
      <c r="M13" s="32"/>
      <c r="N13" s="32"/>
    </row>
    <row r="15" spans="2:17">
      <c r="B15" s="21" t="s">
        <v>34</v>
      </c>
      <c r="C15" s="2" t="s">
        <v>35</v>
      </c>
      <c r="D15" s="2" t="s">
        <v>36</v>
      </c>
      <c r="E15" s="2" t="s">
        <v>37</v>
      </c>
      <c r="F15" s="2" t="s">
        <v>38</v>
      </c>
      <c r="G15" s="2" t="s">
        <v>39</v>
      </c>
      <c r="H15" s="2" t="s">
        <v>40</v>
      </c>
      <c r="I15" s="2" t="s">
        <v>41</v>
      </c>
      <c r="J15" s="2" t="s">
        <v>42</v>
      </c>
      <c r="K15" s="2" t="s">
        <v>43</v>
      </c>
      <c r="L15" s="2" t="s">
        <v>44</v>
      </c>
      <c r="M15" s="2" t="s">
        <v>45</v>
      </c>
      <c r="N15" s="2" t="s">
        <v>46</v>
      </c>
      <c r="O15" s="10"/>
      <c r="P15" s="3" t="s">
        <v>18</v>
      </c>
    </row>
    <row r="16" spans="2:17">
      <c r="B16" s="26" t="s">
        <v>85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1"/>
      <c r="P16" s="14">
        <f t="shared" ref="P16:P34" si="5">SUM(C16:N16)</f>
        <v>0</v>
      </c>
    </row>
    <row r="17" spans="2:16">
      <c r="B17" s="26" t="s">
        <v>109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590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1"/>
      <c r="P17" s="14">
        <f t="shared" si="5"/>
        <v>590</v>
      </c>
    </row>
    <row r="18" spans="2:16">
      <c r="B18" s="4" t="s">
        <v>86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1"/>
      <c r="P18" s="14">
        <f t="shared" si="5"/>
        <v>0</v>
      </c>
    </row>
    <row r="19" spans="2:16">
      <c r="B19" s="27" t="s">
        <v>87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800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1"/>
      <c r="P19" s="14">
        <f t="shared" si="5"/>
        <v>800</v>
      </c>
    </row>
    <row r="20" spans="2:16">
      <c r="B20" s="4" t="s">
        <v>88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5490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1"/>
      <c r="P20" s="14">
        <f t="shared" si="5"/>
        <v>5490</v>
      </c>
    </row>
    <row r="21" spans="2:16">
      <c r="B21" s="4" t="s">
        <v>89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6379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1"/>
      <c r="P21" s="14">
        <f t="shared" si="5"/>
        <v>6379</v>
      </c>
    </row>
    <row r="22" spans="2:16">
      <c r="B22" s="26" t="s">
        <v>90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5382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1"/>
      <c r="P22" s="14">
        <f t="shared" si="5"/>
        <v>5382</v>
      </c>
    </row>
    <row r="23" spans="2:16">
      <c r="B23" s="4" t="s">
        <v>91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1"/>
      <c r="P23" s="14">
        <f t="shared" si="5"/>
        <v>0</v>
      </c>
    </row>
    <row r="24" spans="2:16">
      <c r="B24" s="22" t="s">
        <v>92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1"/>
      <c r="P24" s="14">
        <f t="shared" si="5"/>
        <v>0</v>
      </c>
    </row>
    <row r="25" spans="2:16">
      <c r="B25" s="26" t="s">
        <v>93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1"/>
      <c r="P25" s="14">
        <f t="shared" si="5"/>
        <v>0</v>
      </c>
    </row>
    <row r="26" spans="2:16">
      <c r="B26" s="22" t="s">
        <v>94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1"/>
      <c r="P26" s="14">
        <f t="shared" si="5"/>
        <v>0</v>
      </c>
    </row>
    <row r="27" spans="2:16">
      <c r="B27" s="4" t="s">
        <v>95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4790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1"/>
      <c r="P27" s="14">
        <f t="shared" si="5"/>
        <v>4790</v>
      </c>
    </row>
    <row r="28" spans="2:16">
      <c r="B28" s="4" t="s">
        <v>96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25354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1"/>
      <c r="P28" s="14">
        <f t="shared" si="5"/>
        <v>25354</v>
      </c>
    </row>
    <row r="29" spans="2:16">
      <c r="B29" s="4" t="s">
        <v>97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1790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1"/>
      <c r="P29" s="14">
        <f t="shared" si="5"/>
        <v>1790</v>
      </c>
    </row>
    <row r="30" spans="2:16">
      <c r="B30" s="22" t="s">
        <v>98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1"/>
      <c r="P30" s="14">
        <f t="shared" si="5"/>
        <v>0</v>
      </c>
    </row>
    <row r="31" spans="2:16">
      <c r="B31" s="26" t="s">
        <v>99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4860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1"/>
      <c r="P31" s="14">
        <f t="shared" si="5"/>
        <v>4860</v>
      </c>
    </row>
    <row r="32" spans="2:16">
      <c r="B32" s="22" t="s">
        <v>101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1"/>
      <c r="P32" s="14">
        <f t="shared" si="5"/>
        <v>0</v>
      </c>
    </row>
    <row r="33" spans="2:16">
      <c r="B33" s="4" t="s">
        <v>102</v>
      </c>
      <c r="C33" s="15">
        <v>1995</v>
      </c>
      <c r="D33" s="15">
        <v>0</v>
      </c>
      <c r="E33" s="15">
        <v>0</v>
      </c>
      <c r="F33" s="15">
        <v>2395</v>
      </c>
      <c r="G33" s="15">
        <v>0</v>
      </c>
      <c r="H33" s="15">
        <v>0</v>
      </c>
      <c r="I33" s="15">
        <v>2395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1"/>
      <c r="P33" s="14">
        <f t="shared" si="5"/>
        <v>6785</v>
      </c>
    </row>
    <row r="34" spans="2:16">
      <c r="B34" s="4"/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1"/>
      <c r="P34" s="14">
        <f t="shared" si="5"/>
        <v>0</v>
      </c>
    </row>
    <row r="35" spans="2:16"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/>
      <c r="P35" s="9"/>
    </row>
    <row r="36" spans="2:16">
      <c r="B36" s="5" t="s">
        <v>17</v>
      </c>
      <c r="C36" s="15">
        <f t="shared" ref="C36:N36" si="6">SUM(C16:C34)</f>
        <v>1995</v>
      </c>
      <c r="D36" s="15">
        <f t="shared" si="6"/>
        <v>0</v>
      </c>
      <c r="E36" s="15">
        <f t="shared" si="6"/>
        <v>0</v>
      </c>
      <c r="F36" s="15">
        <f t="shared" si="6"/>
        <v>2395</v>
      </c>
      <c r="G36" s="15">
        <f t="shared" si="6"/>
        <v>0</v>
      </c>
      <c r="H36" s="15">
        <f t="shared" si="6"/>
        <v>0</v>
      </c>
      <c r="I36" s="15">
        <f t="shared" si="6"/>
        <v>57830</v>
      </c>
      <c r="J36" s="15">
        <f t="shared" si="6"/>
        <v>0</v>
      </c>
      <c r="K36" s="15">
        <f t="shared" si="6"/>
        <v>0</v>
      </c>
      <c r="L36" s="15">
        <f t="shared" si="6"/>
        <v>0</v>
      </c>
      <c r="M36" s="15">
        <f t="shared" si="6"/>
        <v>0</v>
      </c>
      <c r="N36" s="15">
        <f t="shared" si="6"/>
        <v>0</v>
      </c>
      <c r="O36" s="12"/>
      <c r="P36" s="16">
        <f>SUM(C36:N36)</f>
        <v>62220</v>
      </c>
    </row>
    <row r="40" spans="2:16">
      <c r="B40" s="21" t="s">
        <v>19</v>
      </c>
    </row>
    <row r="41" spans="2:16">
      <c r="B41" s="4" t="s">
        <v>106</v>
      </c>
      <c r="C41">
        <v>54.93</v>
      </c>
    </row>
    <row r="42" spans="2:16">
      <c r="B42" s="4" t="s">
        <v>0</v>
      </c>
      <c r="C42">
        <v>12.43</v>
      </c>
    </row>
    <row r="43" spans="2:16">
      <c r="B43" s="4" t="s">
        <v>1</v>
      </c>
      <c r="C43">
        <v>18.18</v>
      </c>
    </row>
    <row r="44" spans="2:16">
      <c r="B44" s="4" t="s">
        <v>2</v>
      </c>
      <c r="C44">
        <v>15</v>
      </c>
    </row>
    <row r="45" spans="2:16">
      <c r="B45" s="4" t="s">
        <v>103</v>
      </c>
      <c r="C45">
        <v>8.18</v>
      </c>
    </row>
    <row r="46" spans="2:16">
      <c r="B46" s="4" t="s">
        <v>3</v>
      </c>
      <c r="C46">
        <v>16.41</v>
      </c>
    </row>
    <row r="47" spans="2:16">
      <c r="B47" s="4" t="s">
        <v>4</v>
      </c>
      <c r="C47">
        <v>26.27</v>
      </c>
    </row>
    <row r="48" spans="2:16">
      <c r="B48" s="30"/>
    </row>
    <row r="49" spans="2:2">
      <c r="B49" s="29"/>
    </row>
  </sheetData>
  <mergeCells count="4">
    <mergeCell ref="C13:E13"/>
    <mergeCell ref="F13:H13"/>
    <mergeCell ref="I13:K13"/>
    <mergeCell ref="L13:N13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B2:P29"/>
  <sheetViews>
    <sheetView workbookViewId="0">
      <selection activeCell="G19" sqref="G19"/>
    </sheetView>
  </sheetViews>
  <sheetFormatPr defaultRowHeight="17"/>
  <cols>
    <col min="15" max="15" width="1.453125" customWidth="1"/>
  </cols>
  <sheetData>
    <row r="2" spans="2:16">
      <c r="B2" s="21" t="s">
        <v>19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2" t="s">
        <v>58</v>
      </c>
      <c r="O2" s="10"/>
      <c r="P2" s="3" t="s">
        <v>18</v>
      </c>
    </row>
    <row r="3" spans="2:16">
      <c r="B3" s="4" t="s">
        <v>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1"/>
      <c r="P3" s="14">
        <f>SUM(C3:N3)</f>
        <v>0</v>
      </c>
    </row>
    <row r="4" spans="2:16">
      <c r="B4" s="4" t="s">
        <v>1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1"/>
      <c r="P4" s="14">
        <f t="shared" ref="P4:P8" si="0">SUM(C4:N4)</f>
        <v>0</v>
      </c>
    </row>
    <row r="5" spans="2:16">
      <c r="B5" s="4" t="s">
        <v>2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1"/>
      <c r="P5" s="14">
        <f t="shared" si="0"/>
        <v>0</v>
      </c>
    </row>
    <row r="6" spans="2:16">
      <c r="B6" s="4" t="s">
        <v>104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1"/>
      <c r="P6" s="14">
        <f t="shared" si="0"/>
        <v>0</v>
      </c>
    </row>
    <row r="7" spans="2:16">
      <c r="B7" s="4" t="s">
        <v>3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1"/>
      <c r="P7" s="14">
        <f t="shared" si="0"/>
        <v>0</v>
      </c>
    </row>
    <row r="8" spans="2:16">
      <c r="B8" s="4" t="s">
        <v>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1"/>
      <c r="P8" s="14">
        <f t="shared" si="0"/>
        <v>0</v>
      </c>
    </row>
    <row r="9" spans="2:16" ht="9" customHeight="1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9"/>
    </row>
    <row r="10" spans="2:16">
      <c r="B10" s="5" t="s">
        <v>17</v>
      </c>
      <c r="C10" s="15">
        <f>SUM(C3:C8)</f>
        <v>0</v>
      </c>
      <c r="D10" s="15">
        <f t="shared" ref="D10:N10" si="1">SUM(D3:D8)</f>
        <v>0</v>
      </c>
      <c r="E10" s="15">
        <f t="shared" si="1"/>
        <v>0</v>
      </c>
      <c r="F10" s="15">
        <f t="shared" si="1"/>
        <v>0</v>
      </c>
      <c r="G10" s="15">
        <f t="shared" si="1"/>
        <v>0</v>
      </c>
      <c r="H10" s="15">
        <f t="shared" si="1"/>
        <v>0</v>
      </c>
      <c r="I10" s="15">
        <f t="shared" si="1"/>
        <v>0</v>
      </c>
      <c r="J10" s="15">
        <f t="shared" si="1"/>
        <v>0</v>
      </c>
      <c r="K10" s="15">
        <f t="shared" si="1"/>
        <v>0</v>
      </c>
      <c r="L10" s="15">
        <f t="shared" si="1"/>
        <v>0</v>
      </c>
      <c r="M10" s="15">
        <f t="shared" si="1"/>
        <v>0</v>
      </c>
      <c r="N10" s="15">
        <f t="shared" si="1"/>
        <v>0</v>
      </c>
      <c r="O10" s="12"/>
      <c r="P10" s="16">
        <f>SUM(C10:N10)</f>
        <v>0</v>
      </c>
    </row>
    <row r="11" spans="2:16">
      <c r="C11" s="31">
        <f>SUM(C10:E10)</f>
        <v>0</v>
      </c>
      <c r="D11" s="32"/>
      <c r="E11" s="32"/>
      <c r="F11" s="31">
        <f t="shared" ref="F11" si="2">SUM(F10:H10)</f>
        <v>0</v>
      </c>
      <c r="G11" s="32"/>
      <c r="H11" s="32"/>
      <c r="I11" s="31">
        <f t="shared" ref="I11" si="3">SUM(I10:K10)</f>
        <v>0</v>
      </c>
      <c r="J11" s="32"/>
      <c r="K11" s="32"/>
      <c r="L11" s="31">
        <f t="shared" ref="L11" si="4">SUM(L10:N10)</f>
        <v>0</v>
      </c>
      <c r="M11" s="32"/>
      <c r="N11" s="32"/>
    </row>
    <row r="13" spans="2:16">
      <c r="B13" s="21" t="s">
        <v>34</v>
      </c>
      <c r="C13" s="2" t="s">
        <v>47</v>
      </c>
      <c r="D13" s="2" t="s">
        <v>48</v>
      </c>
      <c r="E13" s="2" t="s">
        <v>49</v>
      </c>
      <c r="F13" s="2" t="s">
        <v>50</v>
      </c>
      <c r="G13" s="2" t="s">
        <v>51</v>
      </c>
      <c r="H13" s="2" t="s">
        <v>52</v>
      </c>
      <c r="I13" s="2" t="s">
        <v>53</v>
      </c>
      <c r="J13" s="2" t="s">
        <v>54</v>
      </c>
      <c r="K13" s="2" t="s">
        <v>55</v>
      </c>
      <c r="L13" s="2" t="s">
        <v>56</v>
      </c>
      <c r="M13" s="2" t="s">
        <v>57</v>
      </c>
      <c r="N13" s="2" t="s">
        <v>58</v>
      </c>
      <c r="O13" s="10"/>
      <c r="P13" s="3" t="s">
        <v>18</v>
      </c>
    </row>
    <row r="14" spans="2:16">
      <c r="B14" s="4"/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1"/>
      <c r="P14" s="14">
        <f>SUM(C14:N14)</f>
        <v>0</v>
      </c>
    </row>
    <row r="15" spans="2:16">
      <c r="B15" s="4"/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1"/>
      <c r="P15" s="14">
        <f t="shared" ref="P15:P27" si="5">SUM(C15:N15)</f>
        <v>0</v>
      </c>
    </row>
    <row r="16" spans="2:16">
      <c r="B16" s="4"/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1"/>
      <c r="P16" s="14">
        <f t="shared" si="5"/>
        <v>0</v>
      </c>
    </row>
    <row r="17" spans="2:16">
      <c r="B17" s="4"/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1"/>
      <c r="P17" s="14">
        <f t="shared" si="5"/>
        <v>0</v>
      </c>
    </row>
    <row r="18" spans="2:16">
      <c r="B18" s="4"/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1"/>
      <c r="P18" s="14">
        <f t="shared" si="5"/>
        <v>0</v>
      </c>
    </row>
    <row r="19" spans="2:16">
      <c r="B19" s="4"/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1"/>
      <c r="P19" s="14">
        <f t="shared" si="5"/>
        <v>0</v>
      </c>
    </row>
    <row r="20" spans="2:16">
      <c r="B20" s="4"/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1"/>
      <c r="P20" s="14">
        <f t="shared" si="5"/>
        <v>0</v>
      </c>
    </row>
    <row r="21" spans="2:16">
      <c r="B21" s="4"/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1"/>
      <c r="P21" s="14">
        <f t="shared" si="5"/>
        <v>0</v>
      </c>
    </row>
    <row r="22" spans="2:16">
      <c r="B22" s="4"/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1"/>
      <c r="P22" s="14">
        <f t="shared" si="5"/>
        <v>0</v>
      </c>
    </row>
    <row r="23" spans="2:16">
      <c r="B23" s="4"/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1"/>
      <c r="P23" s="14">
        <f t="shared" si="5"/>
        <v>0</v>
      </c>
    </row>
    <row r="24" spans="2:16">
      <c r="B24" s="4"/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1"/>
      <c r="P24" s="14">
        <f t="shared" si="5"/>
        <v>0</v>
      </c>
    </row>
    <row r="25" spans="2:16">
      <c r="B25" s="4"/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1"/>
      <c r="P25" s="14">
        <f t="shared" si="5"/>
        <v>0</v>
      </c>
    </row>
    <row r="26" spans="2:16">
      <c r="B26" s="4"/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1"/>
      <c r="P26" s="14">
        <f t="shared" si="5"/>
        <v>0</v>
      </c>
    </row>
    <row r="27" spans="2:16">
      <c r="B27" s="4"/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1"/>
      <c r="P27" s="14">
        <f t="shared" si="5"/>
        <v>0</v>
      </c>
    </row>
    <row r="28" spans="2:16"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9"/>
    </row>
    <row r="29" spans="2:16">
      <c r="B29" s="5" t="s">
        <v>17</v>
      </c>
      <c r="C29" s="15">
        <f>SUM(C14:C27)</f>
        <v>0</v>
      </c>
      <c r="D29" s="15">
        <f t="shared" ref="D29:N29" si="6">SUM(D14:D27)</f>
        <v>0</v>
      </c>
      <c r="E29" s="15">
        <f t="shared" si="6"/>
        <v>0</v>
      </c>
      <c r="F29" s="15">
        <f t="shared" si="6"/>
        <v>0</v>
      </c>
      <c r="G29" s="15">
        <f t="shared" si="6"/>
        <v>0</v>
      </c>
      <c r="H29" s="15">
        <f t="shared" si="6"/>
        <v>0</v>
      </c>
      <c r="I29" s="15">
        <f t="shared" si="6"/>
        <v>0</v>
      </c>
      <c r="J29" s="15">
        <f t="shared" si="6"/>
        <v>0</v>
      </c>
      <c r="K29" s="15">
        <f t="shared" si="6"/>
        <v>0</v>
      </c>
      <c r="L29" s="15">
        <f t="shared" si="6"/>
        <v>0</v>
      </c>
      <c r="M29" s="15">
        <f t="shared" si="6"/>
        <v>0</v>
      </c>
      <c r="N29" s="15">
        <f t="shared" si="6"/>
        <v>0</v>
      </c>
      <c r="O29" s="12"/>
      <c r="P29" s="16">
        <f>SUM(C29:N29)</f>
        <v>0</v>
      </c>
    </row>
  </sheetData>
  <mergeCells count="4">
    <mergeCell ref="C11:E11"/>
    <mergeCell ref="F11:H11"/>
    <mergeCell ref="I11:K11"/>
    <mergeCell ref="L11:N11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B2:P29"/>
  <sheetViews>
    <sheetView workbookViewId="0">
      <selection activeCell="E14" sqref="E14"/>
    </sheetView>
  </sheetViews>
  <sheetFormatPr defaultRowHeight="17"/>
  <cols>
    <col min="15" max="15" width="1.453125" customWidth="1"/>
  </cols>
  <sheetData>
    <row r="2" spans="2:16">
      <c r="B2" s="21" t="s">
        <v>19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10"/>
      <c r="P2" s="3" t="s">
        <v>18</v>
      </c>
    </row>
    <row r="3" spans="2:16">
      <c r="B3" s="4" t="s">
        <v>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1"/>
      <c r="P3" s="14">
        <f>SUM(C3:N3)</f>
        <v>0</v>
      </c>
    </row>
    <row r="4" spans="2:16">
      <c r="B4" s="4" t="s">
        <v>1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1"/>
      <c r="P4" s="14">
        <f t="shared" ref="P4:P8" si="0">SUM(C4:N4)</f>
        <v>0</v>
      </c>
    </row>
    <row r="5" spans="2:16">
      <c r="B5" s="4" t="s">
        <v>2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1"/>
      <c r="P5" s="14">
        <f t="shared" si="0"/>
        <v>0</v>
      </c>
    </row>
    <row r="6" spans="2:16">
      <c r="B6" s="4" t="s">
        <v>103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1"/>
      <c r="P6" s="14">
        <f t="shared" si="0"/>
        <v>0</v>
      </c>
    </row>
    <row r="7" spans="2:16">
      <c r="B7" s="4" t="s">
        <v>3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1"/>
      <c r="P7" s="14">
        <f t="shared" si="0"/>
        <v>0</v>
      </c>
    </row>
    <row r="8" spans="2:16">
      <c r="B8" s="4" t="s">
        <v>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1"/>
      <c r="P8" s="14">
        <f t="shared" si="0"/>
        <v>0</v>
      </c>
    </row>
    <row r="9" spans="2:16" ht="9" customHeight="1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9"/>
    </row>
    <row r="10" spans="2:16">
      <c r="B10" s="5" t="s">
        <v>17</v>
      </c>
      <c r="C10" s="15">
        <f>SUM(C3:C8)</f>
        <v>0</v>
      </c>
      <c r="D10" s="15">
        <f t="shared" ref="D10:N10" si="1">SUM(D3:D8)</f>
        <v>0</v>
      </c>
      <c r="E10" s="15">
        <f t="shared" si="1"/>
        <v>0</v>
      </c>
      <c r="F10" s="15">
        <f t="shared" si="1"/>
        <v>0</v>
      </c>
      <c r="G10" s="15">
        <f t="shared" si="1"/>
        <v>0</v>
      </c>
      <c r="H10" s="15">
        <f t="shared" si="1"/>
        <v>0</v>
      </c>
      <c r="I10" s="15">
        <f t="shared" si="1"/>
        <v>0</v>
      </c>
      <c r="J10" s="15">
        <f t="shared" si="1"/>
        <v>0</v>
      </c>
      <c r="K10" s="15">
        <f t="shared" si="1"/>
        <v>0</v>
      </c>
      <c r="L10" s="15">
        <f t="shared" si="1"/>
        <v>0</v>
      </c>
      <c r="M10" s="15">
        <f t="shared" si="1"/>
        <v>0</v>
      </c>
      <c r="N10" s="15">
        <f t="shared" si="1"/>
        <v>0</v>
      </c>
      <c r="O10" s="12"/>
      <c r="P10" s="16">
        <f>SUM(C10:N10)</f>
        <v>0</v>
      </c>
    </row>
    <row r="11" spans="2:16">
      <c r="C11" s="31">
        <f>SUM(C10:E10)</f>
        <v>0</v>
      </c>
      <c r="D11" s="32"/>
      <c r="E11" s="32"/>
      <c r="F11" s="31">
        <f t="shared" ref="F11" si="2">SUM(F10:H10)</f>
        <v>0</v>
      </c>
      <c r="G11" s="32"/>
      <c r="H11" s="32"/>
      <c r="I11" s="31">
        <f t="shared" ref="I11" si="3">SUM(I10:K10)</f>
        <v>0</v>
      </c>
      <c r="J11" s="32"/>
      <c r="K11" s="32"/>
      <c r="L11" s="31">
        <f t="shared" ref="L11" si="4">SUM(L10:N10)</f>
        <v>0</v>
      </c>
      <c r="M11" s="32"/>
      <c r="N11" s="32"/>
    </row>
    <row r="13" spans="2:16">
      <c r="B13" s="21" t="s">
        <v>34</v>
      </c>
      <c r="C13" s="2" t="s">
        <v>59</v>
      </c>
      <c r="D13" s="2" t="s">
        <v>60</v>
      </c>
      <c r="E13" s="2" t="s">
        <v>61</v>
      </c>
      <c r="F13" s="2" t="s">
        <v>62</v>
      </c>
      <c r="G13" s="2" t="s">
        <v>63</v>
      </c>
      <c r="H13" s="2" t="s">
        <v>64</v>
      </c>
      <c r="I13" s="2" t="s">
        <v>65</v>
      </c>
      <c r="J13" s="2" t="s">
        <v>66</v>
      </c>
      <c r="K13" s="2" t="s">
        <v>67</v>
      </c>
      <c r="L13" s="2" t="s">
        <v>68</v>
      </c>
      <c r="M13" s="2" t="s">
        <v>69</v>
      </c>
      <c r="N13" s="2" t="s">
        <v>70</v>
      </c>
      <c r="O13" s="10"/>
      <c r="P13" s="3" t="s">
        <v>18</v>
      </c>
    </row>
    <row r="14" spans="2:16">
      <c r="B14" s="4"/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1"/>
      <c r="P14" s="14">
        <f>SUM(C14:N14)</f>
        <v>0</v>
      </c>
    </row>
    <row r="15" spans="2:16">
      <c r="B15" s="4"/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1"/>
      <c r="P15" s="14">
        <f t="shared" ref="P15:P27" si="5">SUM(C15:N15)</f>
        <v>0</v>
      </c>
    </row>
    <row r="16" spans="2:16">
      <c r="B16" s="4"/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1"/>
      <c r="P16" s="14">
        <f t="shared" si="5"/>
        <v>0</v>
      </c>
    </row>
    <row r="17" spans="2:16">
      <c r="B17" s="4"/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1"/>
      <c r="P17" s="14">
        <f t="shared" si="5"/>
        <v>0</v>
      </c>
    </row>
    <row r="18" spans="2:16">
      <c r="B18" s="4"/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1"/>
      <c r="P18" s="14">
        <f t="shared" si="5"/>
        <v>0</v>
      </c>
    </row>
    <row r="19" spans="2:16">
      <c r="B19" s="4"/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1"/>
      <c r="P19" s="14">
        <f t="shared" si="5"/>
        <v>0</v>
      </c>
    </row>
    <row r="20" spans="2:16">
      <c r="B20" s="4"/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1"/>
      <c r="P20" s="14">
        <f t="shared" si="5"/>
        <v>0</v>
      </c>
    </row>
    <row r="21" spans="2:16">
      <c r="B21" s="4"/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1"/>
      <c r="P21" s="14">
        <f t="shared" si="5"/>
        <v>0</v>
      </c>
    </row>
    <row r="22" spans="2:16">
      <c r="B22" s="4"/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1"/>
      <c r="P22" s="14">
        <f t="shared" si="5"/>
        <v>0</v>
      </c>
    </row>
    <row r="23" spans="2:16">
      <c r="B23" s="4"/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1"/>
      <c r="P23" s="14">
        <f t="shared" si="5"/>
        <v>0</v>
      </c>
    </row>
    <row r="24" spans="2:16">
      <c r="B24" s="4"/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1"/>
      <c r="P24" s="14">
        <f t="shared" si="5"/>
        <v>0</v>
      </c>
    </row>
    <row r="25" spans="2:16">
      <c r="B25" s="4"/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1"/>
      <c r="P25" s="14">
        <f t="shared" si="5"/>
        <v>0</v>
      </c>
    </row>
    <row r="26" spans="2:16">
      <c r="B26" s="4"/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1"/>
      <c r="P26" s="14">
        <f t="shared" si="5"/>
        <v>0</v>
      </c>
    </row>
    <row r="27" spans="2:16">
      <c r="B27" s="4"/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1"/>
      <c r="P27" s="14">
        <f t="shared" si="5"/>
        <v>0</v>
      </c>
    </row>
    <row r="28" spans="2:16"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9"/>
    </row>
    <row r="29" spans="2:16">
      <c r="B29" s="5" t="s">
        <v>17</v>
      </c>
      <c r="C29" s="15">
        <f>SUM(C14:C27)</f>
        <v>0</v>
      </c>
      <c r="D29" s="15">
        <f t="shared" ref="D29:N29" si="6">SUM(D14:D27)</f>
        <v>0</v>
      </c>
      <c r="E29" s="15">
        <f t="shared" si="6"/>
        <v>0</v>
      </c>
      <c r="F29" s="15">
        <f t="shared" si="6"/>
        <v>0</v>
      </c>
      <c r="G29" s="15">
        <f t="shared" si="6"/>
        <v>0</v>
      </c>
      <c r="H29" s="15">
        <f t="shared" si="6"/>
        <v>0</v>
      </c>
      <c r="I29" s="15">
        <f t="shared" si="6"/>
        <v>0</v>
      </c>
      <c r="J29" s="15">
        <f t="shared" si="6"/>
        <v>0</v>
      </c>
      <c r="K29" s="15">
        <f t="shared" si="6"/>
        <v>0</v>
      </c>
      <c r="L29" s="15">
        <f t="shared" si="6"/>
        <v>0</v>
      </c>
      <c r="M29" s="15">
        <f t="shared" si="6"/>
        <v>0</v>
      </c>
      <c r="N29" s="15">
        <f t="shared" si="6"/>
        <v>0</v>
      </c>
      <c r="O29" s="12"/>
      <c r="P29" s="16">
        <f>SUM(C29:N29)</f>
        <v>0</v>
      </c>
    </row>
  </sheetData>
  <mergeCells count="4">
    <mergeCell ref="C11:E11"/>
    <mergeCell ref="F11:H11"/>
    <mergeCell ref="I11:K11"/>
    <mergeCell ref="L11:N11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B2:P29"/>
  <sheetViews>
    <sheetView topLeftCell="A4" workbookViewId="0">
      <selection activeCell="F14" sqref="F14"/>
    </sheetView>
  </sheetViews>
  <sheetFormatPr defaultRowHeight="17"/>
  <cols>
    <col min="15" max="15" width="1.453125" customWidth="1"/>
  </cols>
  <sheetData>
    <row r="2" spans="2:16">
      <c r="B2" s="21" t="s">
        <v>19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78</v>
      </c>
      <c r="K2" s="2" t="s">
        <v>79</v>
      </c>
      <c r="L2" s="2" t="s">
        <v>80</v>
      </c>
      <c r="M2" s="2" t="s">
        <v>81</v>
      </c>
      <c r="N2" s="2" t="s">
        <v>82</v>
      </c>
      <c r="O2" s="10"/>
      <c r="P2" s="3" t="s">
        <v>18</v>
      </c>
    </row>
    <row r="3" spans="2:16">
      <c r="B3" s="4" t="s">
        <v>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1"/>
      <c r="P3" s="14">
        <f>SUM(C3:N3)</f>
        <v>0</v>
      </c>
    </row>
    <row r="4" spans="2:16">
      <c r="B4" s="4" t="s">
        <v>1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1"/>
      <c r="P4" s="14">
        <f t="shared" ref="P4:P8" si="0">SUM(C4:N4)</f>
        <v>0</v>
      </c>
    </row>
    <row r="5" spans="2:16">
      <c r="B5" s="4" t="s">
        <v>2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1"/>
      <c r="P5" s="14">
        <f t="shared" si="0"/>
        <v>0</v>
      </c>
    </row>
    <row r="6" spans="2:16">
      <c r="B6" s="4" t="s">
        <v>103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1"/>
      <c r="P6" s="14">
        <f t="shared" si="0"/>
        <v>0</v>
      </c>
    </row>
    <row r="7" spans="2:16">
      <c r="B7" s="4" t="s">
        <v>3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1"/>
      <c r="P7" s="14">
        <f t="shared" si="0"/>
        <v>0</v>
      </c>
    </row>
    <row r="8" spans="2:16">
      <c r="B8" s="4" t="s">
        <v>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1"/>
      <c r="P8" s="14">
        <f t="shared" si="0"/>
        <v>0</v>
      </c>
    </row>
    <row r="9" spans="2:16" ht="9" customHeight="1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9"/>
    </row>
    <row r="10" spans="2:16">
      <c r="B10" s="5" t="s">
        <v>17</v>
      </c>
      <c r="C10" s="15">
        <f>SUM(C3:C8)</f>
        <v>0</v>
      </c>
      <c r="D10" s="15">
        <f t="shared" ref="D10:N10" si="1">SUM(D3:D8)</f>
        <v>0</v>
      </c>
      <c r="E10" s="15">
        <f t="shared" si="1"/>
        <v>0</v>
      </c>
      <c r="F10" s="15">
        <f t="shared" si="1"/>
        <v>0</v>
      </c>
      <c r="G10" s="15">
        <f t="shared" si="1"/>
        <v>0</v>
      </c>
      <c r="H10" s="15">
        <f t="shared" si="1"/>
        <v>0</v>
      </c>
      <c r="I10" s="15">
        <f t="shared" si="1"/>
        <v>0</v>
      </c>
      <c r="J10" s="15">
        <f t="shared" si="1"/>
        <v>0</v>
      </c>
      <c r="K10" s="15">
        <f t="shared" si="1"/>
        <v>0</v>
      </c>
      <c r="L10" s="15">
        <f t="shared" si="1"/>
        <v>0</v>
      </c>
      <c r="M10" s="15">
        <f t="shared" si="1"/>
        <v>0</v>
      </c>
      <c r="N10" s="15">
        <f t="shared" si="1"/>
        <v>0</v>
      </c>
      <c r="O10" s="12"/>
      <c r="P10" s="16">
        <f>SUM(C10:N10)</f>
        <v>0</v>
      </c>
    </row>
    <row r="11" spans="2:16">
      <c r="C11" s="31">
        <f>SUM(C10:E10)</f>
        <v>0</v>
      </c>
      <c r="D11" s="32"/>
      <c r="E11" s="32"/>
      <c r="F11" s="31">
        <f t="shared" ref="F11" si="2">SUM(F10:H10)</f>
        <v>0</v>
      </c>
      <c r="G11" s="32"/>
      <c r="H11" s="32"/>
      <c r="I11" s="31">
        <f t="shared" ref="I11" si="3">SUM(I10:K10)</f>
        <v>0</v>
      </c>
      <c r="J11" s="32"/>
      <c r="K11" s="32"/>
      <c r="L11" s="31">
        <f t="shared" ref="L11" si="4">SUM(L10:N10)</f>
        <v>0</v>
      </c>
      <c r="M11" s="32"/>
      <c r="N11" s="32"/>
    </row>
    <row r="13" spans="2:16">
      <c r="B13" s="21" t="s">
        <v>34</v>
      </c>
      <c r="C13" s="2" t="s">
        <v>83</v>
      </c>
      <c r="D13" s="2" t="s">
        <v>72</v>
      </c>
      <c r="E13" s="2" t="s">
        <v>73</v>
      </c>
      <c r="F13" s="2" t="s">
        <v>74</v>
      </c>
      <c r="G13" s="2" t="s">
        <v>75</v>
      </c>
      <c r="H13" s="2" t="s">
        <v>76</v>
      </c>
      <c r="I13" s="2" t="s">
        <v>77</v>
      </c>
      <c r="J13" s="2" t="s">
        <v>78</v>
      </c>
      <c r="K13" s="2" t="s">
        <v>79</v>
      </c>
      <c r="L13" s="2" t="s">
        <v>80</v>
      </c>
      <c r="M13" s="2" t="s">
        <v>81</v>
      </c>
      <c r="N13" s="2" t="s">
        <v>82</v>
      </c>
      <c r="O13" s="10"/>
      <c r="P13" s="3" t="s">
        <v>18</v>
      </c>
    </row>
    <row r="14" spans="2:16">
      <c r="B14" s="4"/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1"/>
      <c r="P14" s="14">
        <f>SUM(C14:N14)</f>
        <v>0</v>
      </c>
    </row>
    <row r="15" spans="2:16">
      <c r="B15" s="4"/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1"/>
      <c r="P15" s="14">
        <f t="shared" ref="P15:P27" si="5">SUM(C15:N15)</f>
        <v>0</v>
      </c>
    </row>
    <row r="16" spans="2:16">
      <c r="B16" s="4"/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1"/>
      <c r="P16" s="14">
        <f t="shared" si="5"/>
        <v>0</v>
      </c>
    </row>
    <row r="17" spans="2:16">
      <c r="B17" s="4"/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1"/>
      <c r="P17" s="14">
        <f t="shared" si="5"/>
        <v>0</v>
      </c>
    </row>
    <row r="18" spans="2:16">
      <c r="B18" s="4"/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1"/>
      <c r="P18" s="14">
        <f t="shared" si="5"/>
        <v>0</v>
      </c>
    </row>
    <row r="19" spans="2:16">
      <c r="B19" s="4"/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1"/>
      <c r="P19" s="14">
        <f t="shared" si="5"/>
        <v>0</v>
      </c>
    </row>
    <row r="20" spans="2:16">
      <c r="B20" s="4"/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1"/>
      <c r="P20" s="14">
        <f t="shared" si="5"/>
        <v>0</v>
      </c>
    </row>
    <row r="21" spans="2:16">
      <c r="B21" s="4"/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1"/>
      <c r="P21" s="14">
        <f t="shared" si="5"/>
        <v>0</v>
      </c>
    </row>
    <row r="22" spans="2:16">
      <c r="B22" s="4"/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1"/>
      <c r="P22" s="14">
        <f t="shared" si="5"/>
        <v>0</v>
      </c>
    </row>
    <row r="23" spans="2:16">
      <c r="B23" s="4"/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1"/>
      <c r="P23" s="14">
        <f t="shared" si="5"/>
        <v>0</v>
      </c>
    </row>
    <row r="24" spans="2:16">
      <c r="B24" s="4"/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1"/>
      <c r="P24" s="14">
        <f t="shared" si="5"/>
        <v>0</v>
      </c>
    </row>
    <row r="25" spans="2:16">
      <c r="B25" s="4"/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1"/>
      <c r="P25" s="14">
        <f t="shared" si="5"/>
        <v>0</v>
      </c>
    </row>
    <row r="26" spans="2:16">
      <c r="B26" s="4"/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1"/>
      <c r="P26" s="14">
        <f t="shared" si="5"/>
        <v>0</v>
      </c>
    </row>
    <row r="27" spans="2:16">
      <c r="B27" s="4"/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1"/>
      <c r="P27" s="14">
        <f t="shared" si="5"/>
        <v>0</v>
      </c>
    </row>
    <row r="28" spans="2:16"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9"/>
    </row>
    <row r="29" spans="2:16">
      <c r="B29" s="5" t="s">
        <v>17</v>
      </c>
      <c r="C29" s="15">
        <f>SUM(C14:C27)</f>
        <v>0</v>
      </c>
      <c r="D29" s="15">
        <f t="shared" ref="D29:N29" si="6">SUM(D14:D27)</f>
        <v>0</v>
      </c>
      <c r="E29" s="15">
        <f t="shared" si="6"/>
        <v>0</v>
      </c>
      <c r="F29" s="15">
        <f t="shared" si="6"/>
        <v>0</v>
      </c>
      <c r="G29" s="15">
        <f t="shared" si="6"/>
        <v>0</v>
      </c>
      <c r="H29" s="15">
        <f t="shared" si="6"/>
        <v>0</v>
      </c>
      <c r="I29" s="15">
        <f t="shared" si="6"/>
        <v>0</v>
      </c>
      <c r="J29" s="15">
        <f t="shared" si="6"/>
        <v>0</v>
      </c>
      <c r="K29" s="15">
        <f t="shared" si="6"/>
        <v>0</v>
      </c>
      <c r="L29" s="15">
        <f t="shared" si="6"/>
        <v>0</v>
      </c>
      <c r="M29" s="15">
        <f t="shared" si="6"/>
        <v>0</v>
      </c>
      <c r="N29" s="15">
        <f t="shared" si="6"/>
        <v>0</v>
      </c>
      <c r="O29" s="12"/>
      <c r="P29" s="16">
        <f>SUM(C29:N29)</f>
        <v>0</v>
      </c>
    </row>
  </sheetData>
  <mergeCells count="4">
    <mergeCell ref="C11:E11"/>
    <mergeCell ref="F11:H11"/>
    <mergeCell ref="I11:K11"/>
    <mergeCell ref="L11:N1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2024年度</vt:lpstr>
      <vt:lpstr>2025年度 </vt:lpstr>
      <vt:lpstr>2026年度 </vt:lpstr>
      <vt:lpstr>2027年度 </vt:lpstr>
      <vt:lpstr>2028年度 </vt:lpstr>
      <vt:lpstr>2029年度</vt:lpstr>
    </vt:vector>
  </TitlesOfParts>
  <Company>Innolux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kevin.ph.huang</dc:creator>
  <cp:lastModifiedBy>kevin.ph.huang</cp:lastModifiedBy>
  <dcterms:created xsi:type="dcterms:W3CDTF">2025-07-25T00:24:12Z</dcterms:created>
  <dcterms:modified xsi:type="dcterms:W3CDTF">2026-07-30T00:32:46Z</dcterms:modified>
</cp:coreProperties>
</file>